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7BB42A4-181A-4A9E-9CE8-77220B673830}" xr6:coauthVersionLast="47" xr6:coauthVersionMax="47" xr10:uidLastSave="{00000000-0000-0000-0000-000000000000}"/>
  <bookViews>
    <workbookView xWindow="-108" yWindow="-108" windowWidth="23256" windowHeight="13896" xr2:uid="{2BD780E9-E89C-446E-A693-7DDB1D064847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55" i="1" l="1"/>
  <c r="M455" i="1"/>
  <c r="I455" i="1"/>
  <c r="N454" i="1"/>
  <c r="M454" i="1"/>
  <c r="I454" i="1"/>
  <c r="N453" i="1"/>
  <c r="M453" i="1"/>
  <c r="I453" i="1"/>
  <c r="N452" i="1"/>
  <c r="M452" i="1"/>
  <c r="I452" i="1"/>
  <c r="N451" i="1"/>
  <c r="M451" i="1"/>
  <c r="I451" i="1"/>
  <c r="N450" i="1"/>
  <c r="M450" i="1"/>
  <c r="N449" i="1"/>
  <c r="M449" i="1"/>
  <c r="N448" i="1"/>
  <c r="M448" i="1"/>
  <c r="I448" i="1"/>
  <c r="N443" i="1"/>
  <c r="M443" i="1"/>
  <c r="N442" i="1"/>
  <c r="M442" i="1"/>
  <c r="N433" i="1"/>
  <c r="M433" i="1"/>
  <c r="N429" i="1"/>
  <c r="M429" i="1"/>
  <c r="N428" i="1"/>
  <c r="M428" i="1"/>
  <c r="I428" i="1"/>
  <c r="N426" i="1"/>
  <c r="M426" i="1"/>
  <c r="I426" i="1"/>
  <c r="N425" i="1"/>
  <c r="M425" i="1"/>
  <c r="I425" i="1"/>
  <c r="N424" i="1"/>
  <c r="M424" i="1"/>
  <c r="I424" i="1"/>
  <c r="N423" i="1"/>
  <c r="M423" i="1"/>
  <c r="I423" i="1"/>
  <c r="N422" i="1"/>
  <c r="M422" i="1"/>
  <c r="I422" i="1"/>
  <c r="N412" i="1"/>
  <c r="M412" i="1"/>
  <c r="I412" i="1"/>
  <c r="N411" i="1"/>
  <c r="M411" i="1"/>
  <c r="I411" i="1"/>
  <c r="N410" i="1"/>
  <c r="M410" i="1"/>
  <c r="I410" i="1"/>
  <c r="N409" i="1"/>
  <c r="M409" i="1"/>
  <c r="I409" i="1"/>
  <c r="N408" i="1"/>
  <c r="M408" i="1"/>
  <c r="I408" i="1"/>
  <c r="N407" i="1"/>
  <c r="M407" i="1"/>
  <c r="I407" i="1"/>
  <c r="N406" i="1"/>
  <c r="M406" i="1"/>
  <c r="I406" i="1"/>
  <c r="N398" i="1"/>
  <c r="M398" i="1"/>
  <c r="I398" i="1"/>
  <c r="N397" i="1"/>
  <c r="M397" i="1"/>
  <c r="I397" i="1"/>
  <c r="N396" i="1"/>
  <c r="M396" i="1"/>
  <c r="I396" i="1"/>
  <c r="N395" i="1"/>
  <c r="M395" i="1"/>
  <c r="I395" i="1"/>
  <c r="N392" i="1"/>
  <c r="M392" i="1"/>
  <c r="I392" i="1"/>
  <c r="N391" i="1"/>
  <c r="M391" i="1"/>
  <c r="I391" i="1"/>
  <c r="N388" i="1"/>
  <c r="M388" i="1"/>
  <c r="N386" i="1"/>
  <c r="M386" i="1"/>
  <c r="I386" i="1"/>
  <c r="N379" i="1"/>
  <c r="M379" i="1"/>
  <c r="I379" i="1"/>
  <c r="N368" i="1"/>
  <c r="M368" i="1"/>
  <c r="I368" i="1"/>
  <c r="N367" i="1"/>
  <c r="M367" i="1"/>
  <c r="I367" i="1"/>
  <c r="N366" i="1"/>
  <c r="M366" i="1"/>
  <c r="I366" i="1"/>
  <c r="N362" i="1"/>
  <c r="M362" i="1"/>
  <c r="I362" i="1"/>
  <c r="N361" i="1"/>
  <c r="M361" i="1"/>
  <c r="I361" i="1"/>
  <c r="N358" i="1"/>
  <c r="M358" i="1"/>
  <c r="I358" i="1"/>
  <c r="N355" i="1"/>
  <c r="M355" i="1"/>
  <c r="I355" i="1"/>
  <c r="N354" i="1"/>
  <c r="M354" i="1"/>
  <c r="I354" i="1"/>
  <c r="N351" i="1"/>
  <c r="M351" i="1"/>
  <c r="I351" i="1"/>
  <c r="N350" i="1"/>
  <c r="M350" i="1"/>
  <c r="I350" i="1"/>
  <c r="N348" i="1"/>
  <c r="M348" i="1"/>
  <c r="I348" i="1"/>
  <c r="N347" i="1"/>
  <c r="M347" i="1"/>
  <c r="I347" i="1"/>
  <c r="N346" i="1"/>
  <c r="M346" i="1"/>
  <c r="I346" i="1"/>
  <c r="N345" i="1"/>
  <c r="M345" i="1"/>
  <c r="I345" i="1"/>
  <c r="N344" i="1"/>
  <c r="M344" i="1"/>
  <c r="I344" i="1"/>
  <c r="N343" i="1"/>
  <c r="M343" i="1"/>
  <c r="I343" i="1"/>
  <c r="N341" i="1"/>
  <c r="M341" i="1"/>
  <c r="I341" i="1"/>
  <c r="I339" i="1"/>
  <c r="N338" i="1"/>
  <c r="M338" i="1"/>
  <c r="I338" i="1"/>
  <c r="N337" i="1"/>
  <c r="M337" i="1"/>
  <c r="I337" i="1"/>
  <c r="N336" i="1"/>
  <c r="M336" i="1"/>
  <c r="I336" i="1"/>
  <c r="N335" i="1"/>
  <c r="M335" i="1"/>
  <c r="I335" i="1"/>
  <c r="N334" i="1"/>
  <c r="M334" i="1"/>
  <c r="I334" i="1"/>
  <c r="N333" i="1"/>
  <c r="M333" i="1"/>
  <c r="I333" i="1"/>
  <c r="N332" i="1"/>
  <c r="M332" i="1"/>
  <c r="I332" i="1"/>
  <c r="N319" i="1"/>
  <c r="M319" i="1"/>
  <c r="I319" i="1"/>
  <c r="N318" i="1"/>
  <c r="M318" i="1"/>
  <c r="I318" i="1"/>
  <c r="N317" i="1"/>
  <c r="M317" i="1"/>
  <c r="I317" i="1"/>
  <c r="N316" i="1"/>
  <c r="M316" i="1"/>
  <c r="I316" i="1"/>
  <c r="N315" i="1"/>
  <c r="M315" i="1"/>
  <c r="I315" i="1"/>
  <c r="N314" i="1"/>
  <c r="M314" i="1"/>
  <c r="I314" i="1"/>
  <c r="N313" i="1"/>
  <c r="M313" i="1"/>
  <c r="I313" i="1"/>
  <c r="N311" i="1"/>
  <c r="M311" i="1"/>
  <c r="I311" i="1"/>
  <c r="N308" i="1"/>
  <c r="M308" i="1"/>
  <c r="I308" i="1"/>
  <c r="N307" i="1"/>
  <c r="M307" i="1"/>
  <c r="I307" i="1"/>
  <c r="N306" i="1"/>
  <c r="M306" i="1"/>
  <c r="I306" i="1"/>
  <c r="N305" i="1"/>
  <c r="M305" i="1"/>
  <c r="I305" i="1"/>
  <c r="N304" i="1"/>
  <c r="M304" i="1"/>
  <c r="I304" i="1"/>
  <c r="N303" i="1"/>
  <c r="M303" i="1"/>
  <c r="I303" i="1"/>
  <c r="N302" i="1"/>
  <c r="M302" i="1"/>
  <c r="I302" i="1"/>
  <c r="N301" i="1"/>
  <c r="M301" i="1"/>
  <c r="I301" i="1"/>
  <c r="N300" i="1"/>
  <c r="M300" i="1"/>
  <c r="I300" i="1"/>
  <c r="N299" i="1"/>
  <c r="M299" i="1"/>
  <c r="I299" i="1"/>
  <c r="N298" i="1"/>
  <c r="M298" i="1"/>
  <c r="N294" i="1"/>
  <c r="M294" i="1"/>
  <c r="I294" i="1"/>
  <c r="N293" i="1"/>
  <c r="M293" i="1"/>
  <c r="I293" i="1"/>
  <c r="N291" i="1"/>
  <c r="M291" i="1"/>
  <c r="I291" i="1"/>
  <c r="N290" i="1"/>
  <c r="M290" i="1"/>
  <c r="I290" i="1"/>
  <c r="N289" i="1"/>
  <c r="M289" i="1"/>
  <c r="N288" i="1"/>
  <c r="M288" i="1"/>
  <c r="I288" i="1"/>
  <c r="N287" i="1"/>
  <c r="M287" i="1"/>
  <c r="N286" i="1"/>
  <c r="M286" i="1"/>
  <c r="N285" i="1"/>
  <c r="M285" i="1"/>
  <c r="N284" i="1"/>
  <c r="M284" i="1"/>
  <c r="N283" i="1"/>
  <c r="M283" i="1"/>
  <c r="I283" i="1"/>
  <c r="N282" i="1"/>
  <c r="M282" i="1"/>
  <c r="I282" i="1"/>
  <c r="N281" i="1"/>
  <c r="M281" i="1"/>
  <c r="I281" i="1"/>
  <c r="N280" i="1"/>
  <c r="M280" i="1"/>
  <c r="I280" i="1"/>
  <c r="N279" i="1"/>
  <c r="M279" i="1"/>
  <c r="I279" i="1"/>
  <c r="N278" i="1"/>
  <c r="M278" i="1"/>
  <c r="I278" i="1"/>
  <c r="N277" i="1"/>
  <c r="M277" i="1"/>
  <c r="I277" i="1"/>
  <c r="N276" i="1"/>
  <c r="M276" i="1"/>
  <c r="I276" i="1"/>
  <c r="N275" i="1"/>
  <c r="M275" i="1"/>
  <c r="I275" i="1"/>
  <c r="N274" i="1"/>
  <c r="M274" i="1"/>
  <c r="I274" i="1"/>
  <c r="N273" i="1"/>
  <c r="M273" i="1"/>
  <c r="I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0" i="1"/>
  <c r="M230" i="1"/>
  <c r="I230" i="1"/>
  <c r="N229" i="1"/>
  <c r="M229" i="1"/>
  <c r="I229" i="1"/>
  <c r="N228" i="1"/>
  <c r="M228" i="1"/>
  <c r="I228" i="1"/>
  <c r="N227" i="1"/>
  <c r="M227" i="1"/>
  <c r="I227" i="1"/>
  <c r="N226" i="1"/>
  <c r="M226" i="1"/>
  <c r="I226" i="1"/>
  <c r="N225" i="1"/>
  <c r="M225" i="1"/>
  <c r="I225" i="1"/>
  <c r="N224" i="1"/>
  <c r="M224" i="1"/>
  <c r="I224" i="1"/>
  <c r="N223" i="1"/>
  <c r="M223" i="1"/>
  <c r="I223" i="1"/>
  <c r="N222" i="1"/>
  <c r="M222" i="1"/>
  <c r="I222" i="1"/>
  <c r="N221" i="1"/>
  <c r="M221" i="1"/>
  <c r="I221" i="1"/>
  <c r="N220" i="1"/>
  <c r="M220" i="1"/>
  <c r="I220" i="1"/>
  <c r="N219" i="1"/>
  <c r="M219" i="1"/>
  <c r="I219" i="1"/>
  <c r="N218" i="1"/>
  <c r="M218" i="1"/>
  <c r="I218" i="1"/>
  <c r="N217" i="1"/>
  <c r="M217" i="1"/>
  <c r="I217" i="1"/>
  <c r="N216" i="1"/>
  <c r="M216" i="1"/>
  <c r="I216" i="1"/>
  <c r="N215" i="1"/>
  <c r="M215" i="1"/>
  <c r="I215" i="1"/>
  <c r="N214" i="1"/>
  <c r="M214" i="1"/>
  <c r="I214" i="1"/>
  <c r="N209" i="1"/>
  <c r="M209" i="1"/>
  <c r="I209" i="1"/>
  <c r="N206" i="1"/>
  <c r="M206" i="1"/>
  <c r="N198" i="1"/>
  <c r="M198" i="1"/>
  <c r="I198" i="1"/>
  <c r="N187" i="1"/>
  <c r="M187" i="1"/>
  <c r="I187" i="1"/>
  <c r="N186" i="1"/>
  <c r="M186" i="1"/>
  <c r="I186" i="1"/>
  <c r="N185" i="1"/>
  <c r="M185" i="1"/>
  <c r="I185" i="1"/>
  <c r="N183" i="1"/>
  <c r="M183" i="1"/>
  <c r="I183" i="1"/>
  <c r="N182" i="1"/>
  <c r="M182" i="1"/>
  <c r="I182" i="1"/>
  <c r="N181" i="1"/>
  <c r="M181" i="1"/>
  <c r="I181" i="1"/>
  <c r="N180" i="1"/>
  <c r="M180" i="1"/>
  <c r="I180" i="1"/>
  <c r="N179" i="1"/>
  <c r="M179" i="1"/>
  <c r="I179" i="1"/>
  <c r="N178" i="1"/>
  <c r="M178" i="1"/>
  <c r="I178" i="1"/>
  <c r="N177" i="1"/>
  <c r="M177" i="1"/>
  <c r="I177" i="1"/>
  <c r="N176" i="1"/>
  <c r="M176" i="1"/>
  <c r="I176" i="1"/>
  <c r="N175" i="1"/>
  <c r="M175" i="1"/>
  <c r="I175" i="1"/>
  <c r="N174" i="1"/>
  <c r="M174" i="1"/>
  <c r="I174" i="1"/>
  <c r="N173" i="1"/>
  <c r="M173" i="1"/>
  <c r="N172" i="1"/>
  <c r="M172" i="1"/>
  <c r="I172" i="1"/>
  <c r="N170" i="1"/>
  <c r="M170" i="1"/>
  <c r="N169" i="1"/>
  <c r="M169" i="1"/>
  <c r="N168" i="1"/>
  <c r="M168" i="1"/>
  <c r="I168" i="1"/>
  <c r="N167" i="1"/>
  <c r="M167" i="1"/>
  <c r="I167" i="1"/>
  <c r="N166" i="1"/>
  <c r="M166" i="1"/>
  <c r="I166" i="1"/>
  <c r="N165" i="1"/>
  <c r="M165" i="1"/>
  <c r="I165" i="1"/>
  <c r="N164" i="1"/>
  <c r="M164" i="1"/>
  <c r="I164" i="1"/>
  <c r="N163" i="1"/>
  <c r="M163" i="1"/>
  <c r="I163" i="1"/>
  <c r="N162" i="1"/>
  <c r="M162" i="1"/>
  <c r="I162" i="1"/>
  <c r="N161" i="1"/>
  <c r="M161" i="1"/>
  <c r="I161" i="1"/>
  <c r="N160" i="1"/>
  <c r="M160" i="1"/>
  <c r="I160" i="1"/>
  <c r="N159" i="1"/>
  <c r="M159" i="1"/>
  <c r="I159" i="1"/>
  <c r="N158" i="1"/>
  <c r="M158" i="1"/>
  <c r="I158" i="1"/>
  <c r="N155" i="1"/>
  <c r="M155" i="1"/>
  <c r="I155" i="1"/>
  <c r="N154" i="1"/>
  <c r="M154" i="1"/>
  <c r="I154" i="1"/>
  <c r="N153" i="1"/>
  <c r="M153" i="1"/>
  <c r="I153" i="1"/>
  <c r="N152" i="1"/>
  <c r="M152" i="1"/>
  <c r="I152" i="1"/>
  <c r="N143" i="1"/>
  <c r="M143" i="1"/>
  <c r="I143" i="1"/>
  <c r="N140" i="1"/>
  <c r="M140" i="1"/>
  <c r="I140" i="1"/>
  <c r="N139" i="1"/>
  <c r="M139" i="1"/>
  <c r="I139" i="1"/>
  <c r="N131" i="1"/>
  <c r="M131" i="1"/>
  <c r="N130" i="1"/>
  <c r="M130" i="1"/>
  <c r="I130" i="1"/>
  <c r="N127" i="1"/>
  <c r="M127" i="1"/>
  <c r="I127" i="1"/>
  <c r="N125" i="1"/>
  <c r="M125" i="1"/>
  <c r="I125" i="1"/>
  <c r="N117" i="1"/>
  <c r="M117" i="1"/>
  <c r="N113" i="1"/>
  <c r="M113" i="1"/>
  <c r="I113" i="1"/>
  <c r="N110" i="1"/>
  <c r="M110" i="1"/>
  <c r="I110" i="1"/>
  <c r="N109" i="1"/>
  <c r="M109" i="1"/>
  <c r="N108" i="1"/>
  <c r="M108" i="1"/>
  <c r="I108" i="1"/>
  <c r="N107" i="1"/>
  <c r="M107" i="1"/>
  <c r="I107" i="1"/>
  <c r="N106" i="1"/>
  <c r="M106" i="1"/>
  <c r="I106" i="1"/>
  <c r="N105" i="1"/>
  <c r="M105" i="1"/>
  <c r="I105" i="1"/>
  <c r="N104" i="1"/>
  <c r="M104" i="1"/>
  <c r="I104" i="1"/>
  <c r="N98" i="1"/>
  <c r="M98" i="1"/>
  <c r="N97" i="1"/>
  <c r="M97" i="1"/>
  <c r="I97" i="1"/>
  <c r="N90" i="1"/>
  <c r="M90" i="1"/>
  <c r="N89" i="1"/>
  <c r="M89" i="1"/>
  <c r="N87" i="1"/>
  <c r="M87" i="1"/>
  <c r="N86" i="1"/>
  <c r="M86" i="1"/>
  <c r="I86" i="1"/>
  <c r="N85" i="1"/>
  <c r="M85" i="1"/>
  <c r="I85" i="1"/>
  <c r="N81" i="1"/>
  <c r="M81" i="1"/>
  <c r="N73" i="1"/>
  <c r="M73" i="1"/>
  <c r="N70" i="1"/>
  <c r="M70" i="1"/>
  <c r="N62" i="1"/>
  <c r="M62" i="1"/>
  <c r="I62" i="1"/>
  <c r="N60" i="1"/>
  <c r="M60" i="1"/>
  <c r="N59" i="1"/>
  <c r="M59" i="1"/>
  <c r="I59" i="1"/>
  <c r="N58" i="1"/>
  <c r="M58" i="1"/>
  <c r="I58" i="1"/>
  <c r="N53" i="1"/>
  <c r="M53" i="1"/>
  <c r="I53" i="1"/>
  <c r="N36" i="1"/>
  <c r="M36" i="1"/>
  <c r="I36" i="1"/>
  <c r="N35" i="1"/>
  <c r="M35" i="1"/>
  <c r="I35" i="1"/>
  <c r="N34" i="1"/>
  <c r="M34" i="1"/>
  <c r="I34" i="1"/>
  <c r="N33" i="1"/>
  <c r="M33" i="1"/>
  <c r="N32" i="1"/>
  <c r="M32" i="1"/>
  <c r="N30" i="1"/>
  <c r="M30" i="1"/>
  <c r="M29" i="1"/>
  <c r="N28" i="1"/>
  <c r="M28" i="1"/>
  <c r="I28" i="1"/>
  <c r="N27" i="1"/>
  <c r="M27" i="1"/>
  <c r="I27" i="1"/>
  <c r="N26" i="1"/>
  <c r="M26" i="1"/>
  <c r="N25" i="1"/>
  <c r="M25" i="1"/>
  <c r="N24" i="1"/>
  <c r="M24" i="1"/>
  <c r="N23" i="1"/>
  <c r="M23" i="1"/>
  <c r="I23" i="1"/>
  <c r="N22" i="1"/>
  <c r="M22" i="1"/>
  <c r="I22" i="1"/>
  <c r="N20" i="1"/>
  <c r="M20" i="1"/>
  <c r="N19" i="1"/>
  <c r="M19" i="1"/>
  <c r="N17" i="1"/>
  <c r="M17" i="1"/>
  <c r="I17" i="1"/>
  <c r="N14" i="1"/>
  <c r="M14" i="1"/>
  <c r="I14" i="1"/>
  <c r="N13" i="1"/>
  <c r="M13" i="1"/>
  <c r="I13" i="1"/>
  <c r="N12" i="1"/>
  <c r="M12" i="1"/>
  <c r="I12" i="1"/>
  <c r="N11" i="1"/>
  <c r="M11" i="1"/>
  <c r="I11" i="1"/>
  <c r="N9" i="1"/>
  <c r="M9" i="1"/>
  <c r="I9" i="1"/>
  <c r="N6" i="1"/>
  <c r="M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1" authorId="0" shapeId="0" xr:uid="{EFB6B1B6-1016-4963-A49A-BFC13404ACAA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FACTURA 01
BOLETA 03
NOTA DE CREDITO  = F7
DOC AUTORIZADOS 30
RECIBO POR HONORARIO 02 
RECIBO POR SERV PUBLICO 14
</t>
        </r>
      </text>
    </comment>
  </commentList>
</comments>
</file>

<file path=xl/sharedStrings.xml><?xml version="1.0" encoding="utf-8"?>
<sst xmlns="http://schemas.openxmlformats.org/spreadsheetml/2006/main" count="2782" uniqueCount="704">
  <si>
    <t>COMPROBANTE</t>
  </si>
  <si>
    <t>20613553488-01-FFF1-00001062</t>
  </si>
  <si>
    <t>10311853029-01-F001-00003114</t>
  </si>
  <si>
    <t>10704360148-01-FF01-00008493</t>
  </si>
  <si>
    <t>20608800868-F7-E001-00000183</t>
  </si>
  <si>
    <t>20608800868-F7-E001-00000184</t>
  </si>
  <si>
    <t>10481237811-01-FF01-00004750</t>
  </si>
  <si>
    <t>20100150736-01-F128-00037548</t>
  </si>
  <si>
    <t>20448121691-01-FQ10-00012269</t>
  </si>
  <si>
    <t>10428029998-01-E001-00000282</t>
  </si>
  <si>
    <t>20614322986-01-F001-00001769</t>
  </si>
  <si>
    <t>10435078937-01-E001-00001093</t>
  </si>
  <si>
    <t>20611560894-01-E001-00013078</t>
  </si>
  <si>
    <t>10075171868-01-E001-00007815</t>
  </si>
  <si>
    <t>20100265479-01-F006-00244086</t>
  </si>
  <si>
    <t>20100265479-01-F006-00244087</t>
  </si>
  <si>
    <t>20100029741-01-F042-00010807</t>
  </si>
  <si>
    <t>20100029741-01-F042-00010808</t>
  </si>
  <si>
    <t>20100029741-01-F042-00010827</t>
  </si>
  <si>
    <t>20100029741-F7-F002-00058132</t>
  </si>
  <si>
    <t>20100029741-F7-F002-00058171</t>
  </si>
  <si>
    <t>20100029741-F7-F002-00058202</t>
  </si>
  <si>
    <t>20600732375-01-F001-00015517</t>
  </si>
  <si>
    <t>10100117741-01-E001-00000647</t>
  </si>
  <si>
    <t>10075171868-01-E001-00007866</t>
  </si>
  <si>
    <t>20100029741-01-F001-00219292</t>
  </si>
  <si>
    <t>20100029741-01-F001-00219293</t>
  </si>
  <si>
    <t>20613553488-01-FFF1-00001143</t>
  </si>
  <si>
    <t>20100029741-F7-F001-00103045</t>
  </si>
  <si>
    <t>10428029998-01-E001-00000285</t>
  </si>
  <si>
    <t>20100265479-01-F006-00244506</t>
  </si>
  <si>
    <t>20600732375-01-F001-00015552</t>
  </si>
  <si>
    <t>20100029741-01-F042-00010887</t>
  </si>
  <si>
    <t>10435078937-01-E001-00001123</t>
  </si>
  <si>
    <t>20608198408-01-F002-00038822</t>
  </si>
  <si>
    <t>10075211215-01-E001-00006707</t>
  </si>
  <si>
    <t>10075171868-01-E001-00007919</t>
  </si>
  <si>
    <t>20524055563-01-F001-00016765</t>
  </si>
  <si>
    <t>20100029741-01-F001-00219579</t>
  </si>
  <si>
    <t>20100029741-01-F001-00219580</t>
  </si>
  <si>
    <t>20100029741-F7-F001-00103201</t>
  </si>
  <si>
    <t>10075211215-01-E001-00006710</t>
  </si>
  <si>
    <t>10075171868-01-E001-00007922</t>
  </si>
  <si>
    <t>10075211215-01-E001-00006716</t>
  </si>
  <si>
    <t>10075171868-01-E001-00007929</t>
  </si>
  <si>
    <t>20100029741-01-F042-00010921</t>
  </si>
  <si>
    <t>20605498991-01-FF01-00011354</t>
  </si>
  <si>
    <t>20608800868-01-E001-00006615</t>
  </si>
  <si>
    <t>10075211215-01-E001-00006720</t>
  </si>
  <si>
    <t>10075171868-01-E001-00007935</t>
  </si>
  <si>
    <t>20557030191-01-F003-00072169</t>
  </si>
  <si>
    <t>20100029741-01-F042-00010924</t>
  </si>
  <si>
    <t>20606248084-01-E001-00002102</t>
  </si>
  <si>
    <t>10075211215-01-E001-00006726</t>
  </si>
  <si>
    <t>10075171868-01-E001-00007946</t>
  </si>
  <si>
    <t>20100029741-01-F001-00219803</t>
  </si>
  <si>
    <t>10075211215-01-E001-00006732</t>
  </si>
  <si>
    <t>20508715332-01-E001-00007663</t>
  </si>
  <si>
    <t>10075171868-01-E001-00007952</t>
  </si>
  <si>
    <t>20608800868-01-E001-00006643</t>
  </si>
  <si>
    <t>10075211215-01-E001-00006739</t>
  </si>
  <si>
    <t>10075171868-01-E001-00007958</t>
  </si>
  <si>
    <t>10075211215-01-E001-00006740</t>
  </si>
  <si>
    <t>10075171868-01-E001-00007970</t>
  </si>
  <si>
    <t>20608800868-01-E001-00006673</t>
  </si>
  <si>
    <t>10075211215-01-E001-00006749</t>
  </si>
  <si>
    <t>10075171868-01-E001-00007976</t>
  </si>
  <si>
    <t>10075171868-01-E001-00007977</t>
  </si>
  <si>
    <t>10075211215-F7-E001-00000237</t>
  </si>
  <si>
    <t>10075211215-01-E001-00006767</t>
  </si>
  <si>
    <t>20613748823-01-F001-00021030</t>
  </si>
  <si>
    <t>20611560894-01-F002-00000392</t>
  </si>
  <si>
    <t>20557030191-01-F003-00072437</t>
  </si>
  <si>
    <t>20613645153-01-F016-00003791</t>
  </si>
  <si>
    <t>20613553488-01-FFF1-00001195</t>
  </si>
  <si>
    <t>10454596523-01-FTR1-00000107</t>
  </si>
  <si>
    <t>10435078937-01-E001-00001136</t>
  </si>
  <si>
    <t>10435078937-01-E001-00001137</t>
  </si>
  <si>
    <t>20614322986-01-F001-00001976</t>
  </si>
  <si>
    <t>20613553488-01-FFF1-00001205</t>
  </si>
  <si>
    <t>20608312260-01-F001-00004077</t>
  </si>
  <si>
    <t>20613553488-01-FFF1-00001215</t>
  </si>
  <si>
    <t>20545134293-01-E001-00015010</t>
  </si>
  <si>
    <t>20100029741-01-F001-00220348</t>
  </si>
  <si>
    <t>10075211215-01-E001-00006788</t>
  </si>
  <si>
    <t>10100117741-01-E001-00000650</t>
  </si>
  <si>
    <t>20100029741-F7-F002-00058397</t>
  </si>
  <si>
    <t>20100029741-F7-F002-00058440</t>
  </si>
  <si>
    <t>20100029741-F7-F002-00058643</t>
  </si>
  <si>
    <t>20100029741-F7-F002-00058714</t>
  </si>
  <si>
    <t>20100029741-F7-F008-00000012</t>
  </si>
  <si>
    <t>20100029741-01-F001-00221001</t>
  </si>
  <si>
    <t>20100029741-01-F001-00221003</t>
  </si>
  <si>
    <t>20100029741-01-F001-00221005</t>
  </si>
  <si>
    <t>10075211215-01-E001-00006820</t>
  </si>
  <si>
    <t>10075171868-01-E001-00008008</t>
  </si>
  <si>
    <t>20448121691-01-FQQ9-00003058</t>
  </si>
  <si>
    <t>20524055563-01-F001-00017140</t>
  </si>
  <si>
    <t>15604473761-01-F001-00008738</t>
  </si>
  <si>
    <t>10075171868-01-E001-00008027</t>
  </si>
  <si>
    <t>20614627990-01-F001-00004770</t>
  </si>
  <si>
    <t>20255020278-01-F001-00010368</t>
  </si>
  <si>
    <t>20255020278-01-F001-00010370</t>
  </si>
  <si>
    <t>20614627990-01-F001-00004779</t>
  </si>
  <si>
    <t>20100029741-01-F042-00011086</t>
  </si>
  <si>
    <t>20613553488-01-FFF1-00001245</t>
  </si>
  <si>
    <t>10454596523-01-FTR1-00000118</t>
  </si>
  <si>
    <t>20611809515-01-E001-00002623</t>
  </si>
  <si>
    <t>20601440963-01-F001-00004407</t>
  </si>
  <si>
    <t>20508715332-01-E001-00007780</t>
  </si>
  <si>
    <t>20557030191-01-F003-00073094</t>
  </si>
  <si>
    <t>20512176594-01-F006-00010286</t>
  </si>
  <si>
    <t>20614322986-01-F001-00002100</t>
  </si>
  <si>
    <t>20100029741-01-F001-00221231</t>
  </si>
  <si>
    <t>20100029741-01-F001-00221232</t>
  </si>
  <si>
    <t>20613553488-01-FFF1-00001255</t>
  </si>
  <si>
    <t>20613553488-01-FFF1-00001260</t>
  </si>
  <si>
    <t>20613553488-01-FFF1-00001264</t>
  </si>
  <si>
    <t>20517486893-01-F001-00012644</t>
  </si>
  <si>
    <t>20517486893-01-F001-00012645</t>
  </si>
  <si>
    <t>20517486893-01-F001-00012646</t>
  </si>
  <si>
    <t>20100150736-01-F128-00039491</t>
  </si>
  <si>
    <t>20613553488-01-FFF1-00001271</t>
  </si>
  <si>
    <t>20557030191-01-F003-00073349</t>
  </si>
  <si>
    <t>20100029741-01-F042-00011168</t>
  </si>
  <si>
    <t>20608800868-01-E001-00006860</t>
  </si>
  <si>
    <t>10075211215-01-E001-00006922</t>
  </si>
  <si>
    <t>20100029741-01-F001-00221498</t>
  </si>
  <si>
    <t>20610843876-01-F001-00003092</t>
  </si>
  <si>
    <t>20601748933-01-F001-00007195</t>
  </si>
  <si>
    <t>20605639845-01-F001-00008127</t>
  </si>
  <si>
    <t>20517486893-01-F001-00012671</t>
  </si>
  <si>
    <t>20517486893-01-F001-00012672</t>
  </si>
  <si>
    <t>20517486893-01-F001-00012673</t>
  </si>
  <si>
    <t>20545134293-01-E001-00015380</t>
  </si>
  <si>
    <t>20612691984-01-F001-00001126</t>
  </si>
  <si>
    <t>20514134155-01-F001-00020846</t>
  </si>
  <si>
    <t>10403972733-01-E001-00010670</t>
  </si>
  <si>
    <t>20612691984-01-F001-00001135</t>
  </si>
  <si>
    <t>20545134293-01-E001-00015454</t>
  </si>
  <si>
    <t>20610843876-01-F001-00003099</t>
  </si>
  <si>
    <t>20601748933-01-F001-00007222</t>
  </si>
  <si>
    <t>20605639845-01-F001-00008178</t>
  </si>
  <si>
    <t>20611560894-01-F002-00001093</t>
  </si>
  <si>
    <t>20605498991-01-FF01-00012326</t>
  </si>
  <si>
    <t>20514134155-01-F001-00020905</t>
  </si>
  <si>
    <t>20512176594-01-F006-00010447</t>
  </si>
  <si>
    <t>20100029741-F7-F002-00059080</t>
  </si>
  <si>
    <t>20100029741-F7-F002-00059127</t>
  </si>
  <si>
    <t>20100029741-F7-F002-00059159</t>
  </si>
  <si>
    <t>20610843876-01-F001-00003103</t>
  </si>
  <si>
    <t>20601748933-01-F001-00007239</t>
  </si>
  <si>
    <t>20605639845-01-F001-00008216</t>
  </si>
  <si>
    <t>20100029741-01-F001-00222194</t>
  </si>
  <si>
    <t>20100265479-01-F008-00166824</t>
  </si>
  <si>
    <t>20100029741-01-F042-00011292</t>
  </si>
  <si>
    <t>20508715332-01-E001-00007918</t>
  </si>
  <si>
    <t>20545134293-01-E001-00015521</t>
  </si>
  <si>
    <t>20608800868-01-E001-00007020</t>
  </si>
  <si>
    <t>20100029741-01-F001-00222487</t>
  </si>
  <si>
    <t>20100029741-01-F001-00222488</t>
  </si>
  <si>
    <t>20100029741-F7-F001-00103974</t>
  </si>
  <si>
    <t>20608800868-01-E001-00007026</t>
  </si>
  <si>
    <t>20600732375-01-F001-00015896</t>
  </si>
  <si>
    <t>20514134155-01-F001-00020969</t>
  </si>
  <si>
    <t>20556128384-01-F011-00054974</t>
  </si>
  <si>
    <t>20100029741-01-F042-00011317</t>
  </si>
  <si>
    <t>20608800868-01-E001-00007037</t>
  </si>
  <si>
    <t>20100029741-01-F001-00222649</t>
  </si>
  <si>
    <t>20100029741-01-F042-00011326</t>
  </si>
  <si>
    <t>20553173991-01-F002-00053298</t>
  </si>
  <si>
    <t>20100150736-01-F128-00040422</t>
  </si>
  <si>
    <t>20613553488-01-FFF1-00001328</t>
  </si>
  <si>
    <t>20608800868-01-E001-00007065</t>
  </si>
  <si>
    <t>20348687191-01-F001-00444307</t>
  </si>
  <si>
    <t>20100150736-F7-F107-00112729</t>
  </si>
  <si>
    <t>20611560894-01-F002-00001522</t>
  </si>
  <si>
    <t>20100029741-01-F042-00011350</t>
  </si>
  <si>
    <t>20100029741-01-F042-00011351</t>
  </si>
  <si>
    <t>20100029741-01-F042-00011352</t>
  </si>
  <si>
    <t>20517382338-01-FPP1-00023763</t>
  </si>
  <si>
    <t>20611809515-01-E001-00002896</t>
  </si>
  <si>
    <t>20608800868-01-E001-00007120</t>
  </si>
  <si>
    <t>20100029741-01-F001-00222962</t>
  </si>
  <si>
    <t>20100029741-01-F001-00222963</t>
  </si>
  <si>
    <t>20100029741-F7-F001-00104177</t>
  </si>
  <si>
    <t>20605639845-01-F001-00008186</t>
  </si>
  <si>
    <t>COD.CPE</t>
  </si>
  <si>
    <t>MONEDA</t>
  </si>
  <si>
    <t>PEN</t>
  </si>
  <si>
    <t>F7</t>
  </si>
  <si>
    <t>USD</t>
  </si>
  <si>
    <t>FECHA EMISION</t>
  </si>
  <si>
    <t>RUC
EMISOR</t>
  </si>
  <si>
    <t>RAZON SOCIAL DEL EMISOR</t>
  </si>
  <si>
    <t>SERIE</t>
  </si>
  <si>
    <t>NÚMERO</t>
  </si>
  <si>
    <t>INVERSIONES CASACERAMICO E.I.R.L.</t>
  </si>
  <si>
    <t>MARINA RENAILOS LAGO</t>
  </si>
  <si>
    <t>PENA ALVAREZ FERNANDA IRENE</t>
  </si>
  <si>
    <t>FERRETERIA DEPOSITO CASAS E.I.R.L.</t>
  </si>
  <si>
    <t>FLORES CALDAS ESTRELLA EMILY</t>
  </si>
  <si>
    <t>LA VIGA S.A.</t>
  </si>
  <si>
    <t>PAMER PERU S.A.C.</t>
  </si>
  <si>
    <t>ZAVALA ALVA GABBY DEL CARMEN</t>
  </si>
  <si>
    <t>ODESSA PLAST E.I.R.L.</t>
  </si>
  <si>
    <t>MONTAEZ PATILLA JACQUELINE SALLY</t>
  </si>
  <si>
    <t>PINTURAS DERQUIN S.A.C.</t>
  </si>
  <si>
    <t>CASAS QUISPE PEDRO JESUS</t>
  </si>
  <si>
    <t>IMPORTADORA TECNICA INDUSTRIAL Y COMERCIAL SA</t>
  </si>
  <si>
    <t>A. BERIO Y CIA S.A.C.</t>
  </si>
  <si>
    <t>DISTRIBUIDORA FERBANZ S.A.C.</t>
  </si>
  <si>
    <t>LAVI GONZALES RAFAEL ELIHU</t>
  </si>
  <si>
    <t>&gt;ANTO GROUP S.A.C.</t>
  </si>
  <si>
    <t>CARDENAS YANQUE JUDITH LAURA</t>
  </si>
  <si>
    <t>COMERCIAL FERRETERIAL YOLED EIRL</t>
  </si>
  <si>
    <t>GRUPO FERREMAT S.A.C.</t>
  </si>
  <si>
    <t>GRUPO DAN PARDO S.A.</t>
  </si>
  <si>
    <t>INDUSTRIAS E INVERSIONES BECORT S.A.C.</t>
  </si>
  <si>
    <t>INDUSTRIAS T &amp; U SOCIEDAD ANONIMA CERRADA</t>
  </si>
  <si>
    <t>SCHUBERT S.A.C.</t>
  </si>
  <si>
    <t>PINTURAS DERQUIN SAC</t>
  </si>
  <si>
    <t>GRUPO MONTEPOLO E.I.R.L.</t>
  </si>
  <si>
    <t>PERNISUR EXPERTOS EN AJUSTE Y SUJECION</t>
  </si>
  <si>
    <t>INVERSIONES JR LADRILLOS S.A.C.</t>
  </si>
  <si>
    <t>LADRILLOS DELTA S.A.</t>
  </si>
  <si>
    <t>RONALD ANTONIO GUERRERO NAVA</t>
  </si>
  <si>
    <t>GRAN PODER GROUP INTERNACIONAL S.A.C.</t>
  </si>
  <si>
    <t>ITAL GRES INDUSTRIAL S.A.C.</t>
  </si>
  <si>
    <t>DISTRIBUIDORA DE ACEROS 4 IMPERIOS S.A.C.</t>
  </si>
  <si>
    <t>DISTRIBUIDORA FERRETERA MARIA ISABEL SALAZAR S.A.C. - DIFEMIS S.A.C.</t>
  </si>
  <si>
    <t>INVERSIONES ARAKAKI S.A.C.</t>
  </si>
  <si>
    <t>DISTRIBUIDORA TERRACOTA S.A.C.</t>
  </si>
  <si>
    <t>GRUPO O &amp; M HNOS S.A.C.</t>
  </si>
  <si>
    <t>DISTRIBUIDORA O Y M LADRILLOS S.A.C.</t>
  </si>
  <si>
    <t>CORPORACION O &amp; M LADRILLOS S.A.C.</t>
  </si>
  <si>
    <t>FABRICA DE PINTURAS EMPERADOR S.A.C.</t>
  </si>
  <si>
    <t>LATERCER S.A.C.</t>
  </si>
  <si>
    <t>GONZALES CONGALLA ANTONIO</t>
  </si>
  <si>
    <t>INDUSTRIA NACIONAL DEL POLIESTIRENO S.A.C.</t>
  </si>
  <si>
    <t>LIDERCORT H &amp; L S.A.C.</t>
  </si>
  <si>
    <t>WURTH PERU SAC</t>
  </si>
  <si>
    <t>REPRESENTACIONES COMERCIALES P&amp;M S.A.C</t>
  </si>
  <si>
    <t>CANTIDAD</t>
  </si>
  <si>
    <t>UNIDAD</t>
  </si>
  <si>
    <t>CODIGO</t>
  </si>
  <si>
    <t>DESCRIPCION</t>
  </si>
  <si>
    <t>PRECIOCIGV</t>
  </si>
  <si>
    <t>TOTAL DE PRODUCTO</t>
  </si>
  <si>
    <t>OBSERVACION</t>
  </si>
  <si>
    <t>NIU</t>
  </si>
  <si>
    <t>CLA009</t>
  </si>
  <si>
    <t>LADRILLO KING KONG 18 HUECOS HUACHIPA</t>
  </si>
  <si>
    <t>CAC005</t>
  </si>
  <si>
    <t>YESO DE CONSTRUCCION  SACO  (15 KG)</t>
  </si>
  <si>
    <t>PEI008</t>
  </si>
  <si>
    <t>ALQUITRAN  GALON 3 LT</t>
  </si>
  <si>
    <t>CCC002</t>
  </si>
  <si>
    <t>CEMENTO APU TIPO 1</t>
  </si>
  <si>
    <t>DEVOLUCION</t>
  </si>
  <si>
    <t>CCC001</t>
  </si>
  <si>
    <t>CEMENTO SOL TIPO 1</t>
  </si>
  <si>
    <t>KGM</t>
  </si>
  <si>
    <t>CFA001</t>
  </si>
  <si>
    <t>ALAMBRE DE CONSTRUCCION N*8</t>
  </si>
  <si>
    <t>ETT037</t>
  </si>
  <si>
    <t>TUBO LUZ SELL 3/4 ECONOMICO</t>
  </si>
  <si>
    <t>GTT012</t>
  </si>
  <si>
    <t>TUBO PARA DESAGUE DE   2 ECONOMICO</t>
  </si>
  <si>
    <t>GTT014</t>
  </si>
  <si>
    <t>TUBO PARA DESAGUE DE 4 ECONOMICO</t>
  </si>
  <si>
    <t>TU</t>
  </si>
  <si>
    <t>GTT040</t>
  </si>
  <si>
    <t>TUBO H2O 1/2 C/R PAVCO</t>
  </si>
  <si>
    <t>CAE002</t>
  </si>
  <si>
    <t>CONCRELISTO QUIKRETE 210 TIPO I - BOLSA DE 40 KG</t>
  </si>
  <si>
    <t>CAE003</t>
  </si>
  <si>
    <t>TARRAJEOLISTO QUIKRETE TIPO I,1:4 - BOLSA DE 40 KG</t>
  </si>
  <si>
    <t>PPS035</t>
  </si>
  <si>
    <t>SIKASIL IA BLANCO 280 ML SIKA</t>
  </si>
  <si>
    <t>PPS021</t>
  </si>
  <si>
    <t>SIKASIL IA TRANSPARENTE 280 ML SIKA</t>
  </si>
  <si>
    <t>HAS014</t>
  </si>
  <si>
    <t>SOLDADURA O ELECTRODO PUNTO AZUL 1 KG (36)</t>
  </si>
  <si>
    <t>PPS005</t>
  </si>
  <si>
    <t>APLICADOR DE SILICONA SIKA</t>
  </si>
  <si>
    <t>FEC016</t>
  </si>
  <si>
    <t>CANDADO 32 MM ECONOMICO</t>
  </si>
  <si>
    <t>FEM002</t>
  </si>
  <si>
    <t xml:space="preserve">CHAPA POMO PARA DORMITORIO WING S </t>
  </si>
  <si>
    <t>HHM005</t>
  </si>
  <si>
    <t>COMBA 2LB C/MANGO  SCHUBERT</t>
  </si>
  <si>
    <t>LUE002</t>
  </si>
  <si>
    <t xml:space="preserve">ESCOBA - ECONOMICA </t>
  </si>
  <si>
    <t>FCC001</t>
  </si>
  <si>
    <t>CRUCETA 1mm 100und</t>
  </si>
  <si>
    <t>FCC002</t>
  </si>
  <si>
    <t>CRUCETA 2mm 100und</t>
  </si>
  <si>
    <t>FCC003</t>
  </si>
  <si>
    <t>CRUCETA 3mm 100und</t>
  </si>
  <si>
    <t>EEE004</t>
  </si>
  <si>
    <t>EXTENSION TOMA CORRIENTE AMARILLO 3 MT</t>
  </si>
  <si>
    <t>EEE001</t>
  </si>
  <si>
    <t xml:space="preserve">EXTENSION TOMA CORRIENTE AMARILLO 5 MT </t>
  </si>
  <si>
    <t>PED018</t>
  </si>
  <si>
    <t>KRESO DESINFECTANTE GALON 3LT</t>
  </si>
  <si>
    <t>PED017</t>
  </si>
  <si>
    <t xml:space="preserve">KRESO DESINFECTANTE 1LT </t>
  </si>
  <si>
    <t>PED006</t>
  </si>
  <si>
    <t>BENCINA - SOLVENTE GALON 3 LT</t>
  </si>
  <si>
    <t>PES021</t>
  </si>
  <si>
    <t>TEMPLE EMPERADOR 5 KG</t>
  </si>
  <si>
    <t>PED005</t>
  </si>
  <si>
    <t xml:space="preserve">BENCINA - SOLVENTE 900 ML </t>
  </si>
  <si>
    <t>LPQ005</t>
  </si>
  <si>
    <t>ACIDO EXTRA FUERTE 1LT</t>
  </si>
  <si>
    <t>PES018</t>
  </si>
  <si>
    <t>YESO CERAMICO SUPER REFINADO X KILO</t>
  </si>
  <si>
    <t>CFB006</t>
  </si>
  <si>
    <t>BARRA  DE CONSTRUCCION 3/4 A.A</t>
  </si>
  <si>
    <t>FCP008</t>
  </si>
  <si>
    <t>PEGAMENTO CHEMA CHEMAYOLIC PARA INTERIORES 25 KG</t>
  </si>
  <si>
    <t>PEA001</t>
  </si>
  <si>
    <t>TRANSFORMADOR DE OXIDO CHEMA 1L</t>
  </si>
  <si>
    <t>PEI007</t>
  </si>
  <si>
    <t>CHEMA CLEAN MULTIUSO 1 Lt</t>
  </si>
  <si>
    <t>FCP006</t>
  </si>
  <si>
    <t>PEGAMENTO CHEMA CHEMAYOLIC BLANCO FLEXIBLE 25 KG</t>
  </si>
  <si>
    <t>CLA018</t>
  </si>
  <si>
    <t>LADRILLO KING KONG 18 HUECOS LARK</t>
  </si>
  <si>
    <t>FCP001</t>
  </si>
  <si>
    <t>SIKA PEGA ENCHAPE BLANCO FLEXIBLE X 25 KG</t>
  </si>
  <si>
    <t>FCP010</t>
  </si>
  <si>
    <t>SIKA PEGA ENCHAPE INTERIOR  X 25 KG</t>
  </si>
  <si>
    <t>CFB003</t>
  </si>
  <si>
    <t>BARRA  DE CONSTRUCCION 3/8 A.A</t>
  </si>
  <si>
    <t>CFB005</t>
  </si>
  <si>
    <t>BARRA  DE CONSTRUCCION 5/8 A.A</t>
  </si>
  <si>
    <t>CFB002</t>
  </si>
  <si>
    <t>BARRA  DE CONSTRUCCION 8 mm A.A</t>
  </si>
  <si>
    <t>60914</t>
  </si>
  <si>
    <t>DESCUENTOS OBTENIDOS</t>
  </si>
  <si>
    <t>01-F001-217963</t>
  </si>
  <si>
    <t>01-F001-219293</t>
  </si>
  <si>
    <t>01-F001-221232</t>
  </si>
  <si>
    <t>CLA023</t>
  </si>
  <si>
    <t xml:space="preserve">LADRILLO TECHO 12 X 30 LARK </t>
  </si>
  <si>
    <t>HAA014</t>
  </si>
  <si>
    <t>DISCO DE CORTE PARA METAL NORTON 7 1/2"</t>
  </si>
  <si>
    <t>HAA012</t>
  </si>
  <si>
    <t>DISCO DE CORTE PARA METAL NORTON 14 1/2"</t>
  </si>
  <si>
    <t>CLA010</t>
  </si>
  <si>
    <t>LADRILLO PANDERETA HUACHIPA</t>
  </si>
  <si>
    <t>PPS031</t>
  </si>
  <si>
    <t>GANCHO TIPO PERA</t>
  </si>
  <si>
    <t>EES001</t>
  </si>
  <si>
    <t xml:space="preserve">EXTENSION TOMA CORRIENTE AMARILLO 10 MT </t>
  </si>
  <si>
    <t>HHH018</t>
  </si>
  <si>
    <t xml:space="preserve">NIVEL DE MANO DE 30 CM AMARILLO </t>
  </si>
  <si>
    <t>HHH016</t>
  </si>
  <si>
    <t xml:space="preserve">NIVEL DE MANO DE 40 CM AMARILLO </t>
  </si>
  <si>
    <t>HHH032</t>
  </si>
  <si>
    <t xml:space="preserve">NIVEL DE MANO DE 45 CM AMARILLO </t>
  </si>
  <si>
    <t>HHH033</t>
  </si>
  <si>
    <t xml:space="preserve">NIVEL DE MANO CON IMAN DE 30 CM </t>
  </si>
  <si>
    <t>HHH036</t>
  </si>
  <si>
    <t xml:space="preserve">NIVEL DE MANO CON IMAN DE 45 CM </t>
  </si>
  <si>
    <t>HHH038</t>
  </si>
  <si>
    <t xml:space="preserve">NIVEL DE MANO CON IMAN DE 60 CM </t>
  </si>
  <si>
    <t>FCF021</t>
  </si>
  <si>
    <t>PORCELANA BLANCO CHEMA</t>
  </si>
  <si>
    <t>FCF001</t>
  </si>
  <si>
    <t>PORCELANA  GRIS PLATA CHEMA</t>
  </si>
  <si>
    <t>FCF039</t>
  </si>
  <si>
    <t>PORCELANA BEIGE CHEMA</t>
  </si>
  <si>
    <t>FCF029</t>
  </si>
  <si>
    <t>PORCELANA CASTANA CHEMA</t>
  </si>
  <si>
    <t>FCF010</t>
  </si>
  <si>
    <t>PORCELANA BLANCO HUMO CHEMA</t>
  </si>
  <si>
    <t>FCF031</t>
  </si>
  <si>
    <t>PORCELANA CREPUSCULO CHEMA</t>
  </si>
  <si>
    <t>FCF043</t>
  </si>
  <si>
    <t>PORCELANA CORAL CHEMA</t>
  </si>
  <si>
    <t>FCF032</t>
  </si>
  <si>
    <t>PORCELANA CUERO CHEMA</t>
  </si>
  <si>
    <t>FCF033</t>
  </si>
  <si>
    <t>PORCELANA CHAMPAGNE CHEMA</t>
  </si>
  <si>
    <t>FCF028</t>
  </si>
  <si>
    <t>PORCELANA CHOCOLATE CHEMA</t>
  </si>
  <si>
    <t>FCF011</t>
  </si>
  <si>
    <t>PORCELANA GRAFITO CHEMA</t>
  </si>
  <si>
    <t>FCF040</t>
  </si>
  <si>
    <t>PORCELANA HUESO CHEMA</t>
  </si>
  <si>
    <t>FCF027</t>
  </si>
  <si>
    <t>PORCELANA MARRON CHEMA</t>
  </si>
  <si>
    <t>FCF002</t>
  </si>
  <si>
    <t>PORCELANA NEGRO CHEMA</t>
  </si>
  <si>
    <t>FCF037</t>
  </si>
  <si>
    <t>PORCELANA PARACAS CHEMA</t>
  </si>
  <si>
    <t>CLA019</t>
  </si>
  <si>
    <t>LADRILLO PANDERETA LARK</t>
  </si>
  <si>
    <t>LADRILLO TECHO 12 X 30 LARK</t>
  </si>
  <si>
    <t>FAA011</t>
  </si>
  <si>
    <t>ABRAZADERA 1 OREJA  3/4"</t>
  </si>
  <si>
    <t>FAA016</t>
  </si>
  <si>
    <t>ABRAZADERA 1 OREJA  2"</t>
  </si>
  <si>
    <t>PPF001</t>
  </si>
  <si>
    <t>PINTURA LATEX  LAVABLE BLANCO GLN FELINSA</t>
  </si>
  <si>
    <t>CAQ003</t>
  </si>
  <si>
    <t>SIKADUR 32 GEL 1KG</t>
  </si>
  <si>
    <t>CAQ002</t>
  </si>
  <si>
    <t>SIKADUR 31 GEL  1KG</t>
  </si>
  <si>
    <t>01-F001-219580</t>
  </si>
  <si>
    <t>CFB004</t>
  </si>
  <si>
    <t>BARRA  DE CONSTRUCCION 1/2 A.A</t>
  </si>
  <si>
    <t>GPP020</t>
  </si>
  <si>
    <t>PEGAMENTO AZUL 32 ONZ  OATEY</t>
  </si>
  <si>
    <t>GPP019</t>
  </si>
  <si>
    <t>PEGAMENTO AZUL 16 ONZ  OATEY</t>
  </si>
  <si>
    <t>CFA002</t>
  </si>
  <si>
    <t>ALAMBRE DE CONSTRUCCION N*16</t>
  </si>
  <si>
    <t>LPQ019</t>
  </si>
  <si>
    <t>SACA OXIDO  1LT</t>
  </si>
  <si>
    <t>01-F001-219803</t>
  </si>
  <si>
    <t>CFB007</t>
  </si>
  <si>
    <t>BARRA  DE CONSTRUCCION 12 mm A.A</t>
  </si>
  <si>
    <t>FAC006</t>
  </si>
  <si>
    <t>CLAVO DE 3  PARA MADERA</t>
  </si>
  <si>
    <t>FAC004</t>
  </si>
  <si>
    <t>CLAVO DE 2  PARA MADERA</t>
  </si>
  <si>
    <t>CFB001</t>
  </si>
  <si>
    <t>BARRA  DE CONSTRUCCION  1/4 o 6 mm A.A</t>
  </si>
  <si>
    <t>CFB008</t>
  </si>
  <si>
    <t>BARRA  DE CONSTRUCCION 1PL  A.A</t>
  </si>
  <si>
    <t>PPS003</t>
  </si>
  <si>
    <t>SILICONA MULTIUSOS CARTUCHO C/ TRANSPARENTE SCHUBERT</t>
  </si>
  <si>
    <t>PES016</t>
  </si>
  <si>
    <t>MASILLA  PARA DRYWALL 1 KG</t>
  </si>
  <si>
    <t>LPQ023</t>
  </si>
  <si>
    <t>SODA CAUSTICA KILO</t>
  </si>
  <si>
    <t>PED004</t>
  </si>
  <si>
    <t>THINNER ACRILICO GALON 2.7 LT</t>
  </si>
  <si>
    <t>PED015</t>
  </si>
  <si>
    <t>THINNER ACRILICO 500 ML</t>
  </si>
  <si>
    <t>GTC018</t>
  </si>
  <si>
    <t>TUBO CPVC 3/4  PAVCO</t>
  </si>
  <si>
    <t>GTT042</t>
  </si>
  <si>
    <t>TUBO H2O 3/4 C/R PAVCO</t>
  </si>
  <si>
    <t>GTT030</t>
  </si>
  <si>
    <t>TUBO H2O 3/4 C/R MATUSITA</t>
  </si>
  <si>
    <t>PES022</t>
  </si>
  <si>
    <t>TEMPLE EMPERADOR 25 KG</t>
  </si>
  <si>
    <t>PES001</t>
  </si>
  <si>
    <t>GALON DE SELLADOR MAJESTAD 4 LT</t>
  </si>
  <si>
    <t>HAA005</t>
  </si>
  <si>
    <t>DISCO DE CORTE PARA CONCRETO (CONTINUO TIPO O LISO) 4 1/2" - ECONOMICO</t>
  </si>
  <si>
    <t>HAA001</t>
  </si>
  <si>
    <t>DISCO DE CORTE PARA CONCRETO (SECO TIPO O SEGMENTADO) 4 1/2" - ECONOMICO</t>
  </si>
  <si>
    <t>FCM034</t>
  </si>
  <si>
    <t>RAFIA DE COLORES 100 G (180 A 185 METROS) UNID</t>
  </si>
  <si>
    <t>ECI019</t>
  </si>
  <si>
    <t xml:space="preserve">ARCO NIVELADOR 1 MM  -  PORCELANATO </t>
  </si>
  <si>
    <t>ECA026</t>
  </si>
  <si>
    <t>CINTA 3M AISLANTE 155 GRANDE</t>
  </si>
  <si>
    <t>ECA027</t>
  </si>
  <si>
    <t>CINTA 3M AISLANTE 155 CHICA</t>
  </si>
  <si>
    <t>ECI043</t>
  </si>
  <si>
    <t>WINCHAS PASACABLE DE 5MTS METAL</t>
  </si>
  <si>
    <t>ECI042</t>
  </si>
  <si>
    <t>WINCHAS PASACABLE DE 10MTS METAL</t>
  </si>
  <si>
    <t>FML010</t>
  </si>
  <si>
    <t>CINTA DE EMBALAJE TRANSPARENTE 2  ATM</t>
  </si>
  <si>
    <t>PR</t>
  </si>
  <si>
    <t>FEB010</t>
  </si>
  <si>
    <t>BISAGRAS FIJA ALUMINIZADAS 2 1/2 X 1</t>
  </si>
  <si>
    <t>FEB013</t>
  </si>
  <si>
    <t>BISAGRAS FIJA ALUMINIZADAS 1 X 1</t>
  </si>
  <si>
    <t>FEB011</t>
  </si>
  <si>
    <t>BISAGRAS FIJA ALUMINIZADAS 2 X 1</t>
  </si>
  <si>
    <t>FEB009</t>
  </si>
  <si>
    <t>BISAGRAS FIJA ALUMINIZADAS 3 X 1</t>
  </si>
  <si>
    <t>FEB008</t>
  </si>
  <si>
    <t>BISAGRAS FIJA ALUMINIZADAS 4 X 1</t>
  </si>
  <si>
    <t>LUP012</t>
  </si>
  <si>
    <t xml:space="preserve">TRAPO MICROFIBRA 40 X 40 </t>
  </si>
  <si>
    <t>LUP011</t>
  </si>
  <si>
    <t xml:space="preserve">TRAPO MICROFIBRA 30 X 30 </t>
  </si>
  <si>
    <t>CLA015</t>
  </si>
  <si>
    <t xml:space="preserve">LADRILLO TECHO 15 X 30 HUACHIPA </t>
  </si>
  <si>
    <t>01-F001-220348</t>
  </si>
  <si>
    <t>HAA035</t>
  </si>
  <si>
    <t>DISCO DE CORTE PARA METAL NORTON 4 1/2"</t>
  </si>
  <si>
    <t>01-F001-217011</t>
  </si>
  <si>
    <t>01-F001-219292</t>
  </si>
  <si>
    <t>01-F001-221005</t>
  </si>
  <si>
    <t>PPS022</t>
  </si>
  <si>
    <t>SANISIL BLANCO 280 ML SIKA</t>
  </si>
  <si>
    <t>PPS020</t>
  </si>
  <si>
    <t>SIKASIL IA NEGRO 280 ML SIKA</t>
  </si>
  <si>
    <t>CAQ005</t>
  </si>
  <si>
    <t>SIKA 1 EN POLVO 1 KG</t>
  </si>
  <si>
    <t>CAQ006</t>
  </si>
  <si>
    <t>SIKA 1 LIQUIDO A 4LTS</t>
  </si>
  <si>
    <t>PPS017</t>
  </si>
  <si>
    <t>SIKAFLEX TODO EN UNO PLUS BLANCO SIKA</t>
  </si>
  <si>
    <t>HHH041</t>
  </si>
  <si>
    <t>REGLA DE ALUMINIO 6 METROS</t>
  </si>
  <si>
    <t>ECI026</t>
  </si>
  <si>
    <t>ACOPLE DE REPARACION PARA TUBERIA HIDRAULICA PVC 1/2</t>
  </si>
  <si>
    <t>GTA333</t>
  </si>
  <si>
    <t>UNION UNIVERSAL 1/2 GALVANIZADO</t>
  </si>
  <si>
    <t>ECI018</t>
  </si>
  <si>
    <t>ACOPLE DE REPARACION PARA TUBERIA HIDRAULICA PVC 3/4</t>
  </si>
  <si>
    <t>CLA014</t>
  </si>
  <si>
    <t>LADRILLO TECHO 12 X 30 HUACHIPA</t>
  </si>
  <si>
    <t>EIE004</t>
  </si>
  <si>
    <t>ENCHUFE INDUSTRIAL DE 2P</t>
  </si>
  <si>
    <t>EES002</t>
  </si>
  <si>
    <t>SUPRESOR DE PICO NEGRO PROFIELD</t>
  </si>
  <si>
    <t>EIT021</t>
  </si>
  <si>
    <t>TOMACORRIENTE DOBLE CON PUNTO A TIERRA ECONOMICO</t>
  </si>
  <si>
    <t>PHR010</t>
  </si>
  <si>
    <t>RODILLO ANTIGOTA 9" ATOM</t>
  </si>
  <si>
    <t>FAB001</t>
  </si>
  <si>
    <t>BRIDA 1/2</t>
  </si>
  <si>
    <t>VVV001</t>
  </si>
  <si>
    <t>PRODUCTOS NO IDENTIFICADOS</t>
  </si>
  <si>
    <t>FAT150</t>
  </si>
  <si>
    <t>TORNILLO SPACK 3.5X10</t>
  </si>
  <si>
    <t>FAT149</t>
  </si>
  <si>
    <t>TORNILLO SPACK 3.5X20</t>
  </si>
  <si>
    <t>FAT148</t>
  </si>
  <si>
    <t>TORNILLO SPACK 3.5X25</t>
  </si>
  <si>
    <t>FAT147</t>
  </si>
  <si>
    <t>TORNILLO SPACK 3.5X30</t>
  </si>
  <si>
    <t>FAT146</t>
  </si>
  <si>
    <t>TORNILLO SPACK 3.5X40</t>
  </si>
  <si>
    <t>FAT145</t>
  </si>
  <si>
    <t>TORNILLO SPACK 3.5X45</t>
  </si>
  <si>
    <t>FAT144</t>
  </si>
  <si>
    <t>TORNILLO SPACK 3.5X50</t>
  </si>
  <si>
    <t>FAT141</t>
  </si>
  <si>
    <t>TORNILLO SPACK 4.5X20</t>
  </si>
  <si>
    <t>FAT140</t>
  </si>
  <si>
    <t>TORNILLO SPACK 4.5X25</t>
  </si>
  <si>
    <t>FAT139</t>
  </si>
  <si>
    <t>TORNILLO SPACK 4.5X30</t>
  </si>
  <si>
    <t>FAT138</t>
  </si>
  <si>
    <t>TORNILLO SPACK 4.5X40</t>
  </si>
  <si>
    <t>FAT136</t>
  </si>
  <si>
    <t>TORNILLO SPACK 4.5X50</t>
  </si>
  <si>
    <t>FAT135</t>
  </si>
  <si>
    <t>TORNILLO SPACK 4.5X60</t>
  </si>
  <si>
    <t>FAT042</t>
  </si>
  <si>
    <t>TORNILLO SPACK 5X25</t>
  </si>
  <si>
    <t>FAT043</t>
  </si>
  <si>
    <t>TORNILLO SPACK 5X30</t>
  </si>
  <si>
    <t>FAT046</t>
  </si>
  <si>
    <t>TORNILLO SPACK 5X50</t>
  </si>
  <si>
    <t>FAT047</t>
  </si>
  <si>
    <t>TORNILLO SPACK 5X60</t>
  </si>
  <si>
    <t>FAT048</t>
  </si>
  <si>
    <t>TORNILLO SPACK 5X80</t>
  </si>
  <si>
    <t>FAT052</t>
  </si>
  <si>
    <t>TORNILLO SPACK 6X30</t>
  </si>
  <si>
    <t>FAT053</t>
  </si>
  <si>
    <t>TORNILLO SPACK 6X40</t>
  </si>
  <si>
    <t>FAT055</t>
  </si>
  <si>
    <t>TORNILLO SPACK 6X50</t>
  </si>
  <si>
    <t>FAT056</t>
  </si>
  <si>
    <t>TORNILLO SPACK 6X60</t>
  </si>
  <si>
    <t>FAT057</t>
  </si>
  <si>
    <t>TORNILLO SPACK 6X80</t>
  </si>
  <si>
    <t>HAB001</t>
  </si>
  <si>
    <t xml:space="preserve">BROCA PARA METAL 7/32 </t>
  </si>
  <si>
    <t>HAB015</t>
  </si>
  <si>
    <t>BROCA PARA METAL 1/16</t>
  </si>
  <si>
    <t>HAB013</t>
  </si>
  <si>
    <t>BROCA PARA METAL 5/32</t>
  </si>
  <si>
    <t>HAB012</t>
  </si>
  <si>
    <t>BROCA PARA METAL 3/16</t>
  </si>
  <si>
    <t>HAB010</t>
  </si>
  <si>
    <t>BROCA PARA METAL 5/16</t>
  </si>
  <si>
    <t>HAB009</t>
  </si>
  <si>
    <t xml:space="preserve">BROCA PARA METAL 3/8 </t>
  </si>
  <si>
    <t>HAB007</t>
  </si>
  <si>
    <t>BROCA PARA METAL 1/2</t>
  </si>
  <si>
    <t>HAB028</t>
  </si>
  <si>
    <t>BROCA PARA CONCRETO 5/32</t>
  </si>
  <si>
    <t>HAB027</t>
  </si>
  <si>
    <t>BROCA PARA CONCRETO 3/16</t>
  </si>
  <si>
    <t>HAB023</t>
  </si>
  <si>
    <t>BROCA PARA CONCRETO 3/8</t>
  </si>
  <si>
    <t>HAB021</t>
  </si>
  <si>
    <t>BROCA PARA CONCRETO 1/2</t>
  </si>
  <si>
    <t>FAT059</t>
  </si>
  <si>
    <t>TORNILLO PARA DRYWALL 6 X 1</t>
  </si>
  <si>
    <t>FAT151</t>
  </si>
  <si>
    <t xml:space="preserve">TORNILLO PARA DRYWALL 6 X 1 1/2 </t>
  </si>
  <si>
    <t>FAT044</t>
  </si>
  <si>
    <t>TORNILLO SPACK 5X40</t>
  </si>
  <si>
    <t>ECI025</t>
  </si>
  <si>
    <t>FENOLICO 1.20 X 2.40 MT</t>
  </si>
  <si>
    <t>CLA025</t>
  </si>
  <si>
    <t>TRIPLAY</t>
  </si>
  <si>
    <t>GGL020</t>
  </si>
  <si>
    <t>LLAVE DE PASO O VALVULA ESFERICA DE BRONCE CROMADO 1/2 - CIM VAL PESADO</t>
  </si>
  <si>
    <t>GTA057</t>
  </si>
  <si>
    <t>TAPON PARA DESAGUE 6 MATUSITA</t>
  </si>
  <si>
    <t>GTT004</t>
  </si>
  <si>
    <t>TUBO PARA DESAGUE DE 4 MATUSITA</t>
  </si>
  <si>
    <t>GTA530</t>
  </si>
  <si>
    <t>LLAVE DE PASO O VALVULA ESFERICA DE PVC 1 1/2 CON ROSCA PAVCO</t>
  </si>
  <si>
    <t>GGL021</t>
  </si>
  <si>
    <t>LLAVE DE PASO O VALVULA ESFERICA DE BRONCE CROMADO 1/2 - CIM VAL LIVIANO</t>
  </si>
  <si>
    <t>GTT002</t>
  </si>
  <si>
    <t>TUBO PARA DESAGUE DE   2 MATUSITA</t>
  </si>
  <si>
    <t>LUE001</t>
  </si>
  <si>
    <t xml:space="preserve">PALO DE ESCOBA </t>
  </si>
  <si>
    <t>CCC004</t>
  </si>
  <si>
    <t>CEMENTO ANDINO ULTRA TIPO HS</t>
  </si>
  <si>
    <t>CAE001</t>
  </si>
  <si>
    <t>SUPER MORTEROLISTO QUIKRETE TIPO I,1:4 - BOLSA DE 40 KG</t>
  </si>
  <si>
    <t>GTC021</t>
  </si>
  <si>
    <t>CODO 1/2 X 90 CPVC MATUSITA - TIGRE</t>
  </si>
  <si>
    <t>PES002</t>
  </si>
  <si>
    <t>TEMPLE EMPERADOR 2 KG</t>
  </si>
  <si>
    <t>CLA003</t>
  </si>
  <si>
    <t>LADRILLO KING KONG 18 HUECOS FORTES</t>
  </si>
  <si>
    <t>HAA011</t>
  </si>
  <si>
    <t>DISCO DE CORTE PARA METAL NORTON 9 1/2"</t>
  </si>
  <si>
    <t>HAA051</t>
  </si>
  <si>
    <t>DISCO DE CORTE PARA MADERA (18 T) 9 1/2" - ECONOMICO</t>
  </si>
  <si>
    <t>CAC004</t>
  </si>
  <si>
    <t xml:space="preserve">CAL DE OBRA SACO </t>
  </si>
  <si>
    <t>GPP016</t>
  </si>
  <si>
    <t>PEGAMENTO AZUL 2 ONZ  OATEY</t>
  </si>
  <si>
    <t>GTA021</t>
  </si>
  <si>
    <t>CODO PARA DESAGUE 2 X 90 MATUSITA</t>
  </si>
  <si>
    <t>GTA022</t>
  </si>
  <si>
    <t>CODO PARA DESAGUE 2 X 45 MATUSITA</t>
  </si>
  <si>
    <t>GTA047</t>
  </si>
  <si>
    <t>TEE PARA DESAGUE DE 2 MATUSITA</t>
  </si>
  <si>
    <t>GTA088</t>
  </si>
  <si>
    <t>YEE PARA DESAGUE 3 X 2 PAVCO</t>
  </si>
  <si>
    <t>GTA025</t>
  </si>
  <si>
    <t>CODO PARA DESAGUE4 X 90 MATUSITA</t>
  </si>
  <si>
    <t>GTA026</t>
  </si>
  <si>
    <t>CODO PARA DESAGUE 4 X 45 MATUSITA</t>
  </si>
  <si>
    <t>GTA051</t>
  </si>
  <si>
    <t>TEE PARA DESAGUE DE 4 A 2 MATUSITA</t>
  </si>
  <si>
    <t>GTA075</t>
  </si>
  <si>
    <t>CODO PARA DESAGUE4 X 90 PAVCO</t>
  </si>
  <si>
    <t>GTA076</t>
  </si>
  <si>
    <t>CODO PARA DESAGUE 4 X 45 PAVCO</t>
  </si>
  <si>
    <t>GTA147</t>
  </si>
  <si>
    <t>TEE PARA H2O 1/2 S/R MATUSITA</t>
  </si>
  <si>
    <t>GTA160</t>
  </si>
  <si>
    <t>ADAPTADOR  PARA H2O 1/2 MATUSITA</t>
  </si>
  <si>
    <t>PEI002</t>
  </si>
  <si>
    <t>CHEMA TOP ANTISALITRE TIPO PINTURA - 1/4 GALON</t>
  </si>
  <si>
    <t>PEI006</t>
  </si>
  <si>
    <t>CHEMA TOP - 1/4 GALON</t>
  </si>
  <si>
    <t>01-F001-222487</t>
  </si>
  <si>
    <t>CLA012</t>
  </si>
  <si>
    <t>LADRILLO TECHO 20 X 30 HUACHIPA</t>
  </si>
  <si>
    <t>CAP005</t>
  </si>
  <si>
    <t>BLOQUE DE TECNOPOR   15 x 30</t>
  </si>
  <si>
    <t>CAP006</t>
  </si>
  <si>
    <t>BLOQUE DE TECNOPOR   12 x 30</t>
  </si>
  <si>
    <t>CAP002</t>
  </si>
  <si>
    <t>PLANCHA TECNOPOR 1.20 X 2.40 X 1</t>
  </si>
  <si>
    <t>CAP004</t>
  </si>
  <si>
    <t>PLANCHA TECNOPOR 1.20 X2.40 X 2</t>
  </si>
  <si>
    <t>CAP003</t>
  </si>
  <si>
    <t>PLANCHA TECNOPOR 1.20 X 2.40 X   1 1/2</t>
  </si>
  <si>
    <t>CAP001</t>
  </si>
  <si>
    <t>PLANCHA TECNOPOR 1.20 X 2.40 X 3/4</t>
  </si>
  <si>
    <t>CLA024</t>
  </si>
  <si>
    <t>LADRILLO TECHO 15 X 30 LARK</t>
  </si>
  <si>
    <t>NO RECOGIDO</t>
  </si>
  <si>
    <t>PHL026</t>
  </si>
  <si>
    <t>LIJA PARA FIERRO O METAL #80</t>
  </si>
  <si>
    <t>PHL027</t>
  </si>
  <si>
    <t>LIJA PARA FIERRO O METAL #100</t>
  </si>
  <si>
    <t>PHL008</t>
  </si>
  <si>
    <t>LIJA PARA H2O #220</t>
  </si>
  <si>
    <t>CCC007</t>
  </si>
  <si>
    <t>CEMENTO BLANCO 1 KG</t>
  </si>
  <si>
    <t>LPQ004</t>
  </si>
  <si>
    <t>ACIDO EXTRA FUERTE GALON 3.5 LT</t>
  </si>
  <si>
    <t>LPQ021</t>
  </si>
  <si>
    <t xml:space="preserve">QUITA SARRO 1LT </t>
  </si>
  <si>
    <t>CAQ001</t>
  </si>
  <si>
    <t>SIKADUR 31 GEL  5KG</t>
  </si>
  <si>
    <t>FAC003</t>
  </si>
  <si>
    <t>CLAVO DE 1  PARA MADERA</t>
  </si>
  <si>
    <t>01-F001-222963</t>
  </si>
  <si>
    <t>CLA007</t>
  </si>
  <si>
    <t>LADRILLO PASTELERO HUACHIPA</t>
  </si>
  <si>
    <t>FAC005</t>
  </si>
  <si>
    <t>CLAVO DE 2 1/2 PARA MADERA</t>
  </si>
  <si>
    <t>FAC007</t>
  </si>
  <si>
    <t>CLAVO DE 4  PARA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</si>
</sst>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1"/>
      <color rgb="FF0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49" fontId="2" fillId="2" borderId="2" xfId="1" applyNumberFormat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3" borderId="2" xfId="1" applyFont="1" applyFill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" fontId="0" fillId="4" borderId="0" xfId="0" applyNumberFormat="1" applyFill="1" applyAlignment="1">
      <alignment horizontal="center"/>
    </xf>
    <xf numFmtId="4" fontId="0" fillId="5" borderId="0" xfId="0" quotePrefix="1" applyNumberFormat="1" applyFill="1" applyAlignment="1">
      <alignment horizontal="center"/>
    </xf>
    <xf numFmtId="49" fontId="0" fillId="5" borderId="0" xfId="0" applyNumberFormat="1" applyFill="1" applyAlignment="1">
      <alignment horizontal="left"/>
    </xf>
    <xf numFmtId="4" fontId="0" fillId="4" borderId="0" xfId="0" applyNumberFormat="1" applyFill="1"/>
    <xf numFmtId="4" fontId="0" fillId="5" borderId="0" xfId="0" applyNumberFormat="1" applyFill="1" applyAlignment="1">
      <alignment horizontal="center"/>
    </xf>
    <xf numFmtId="0" fontId="4" fillId="0" borderId="0" xfId="0" applyFont="1"/>
    <xf numFmtId="0" fontId="5" fillId="5" borderId="0" xfId="2" applyFill="1"/>
    <xf numFmtId="0" fontId="5" fillId="0" borderId="0" xfId="2"/>
    <xf numFmtId="0" fontId="0" fillId="5" borderId="0" xfId="0" applyFill="1" applyAlignment="1">
      <alignment horizontal="center"/>
    </xf>
    <xf numFmtId="0" fontId="0" fillId="6" borderId="0" xfId="0" applyFill="1"/>
    <xf numFmtId="0" fontId="0" fillId="2" borderId="0" xfId="0" applyFill="1"/>
    <xf numFmtId="164" fontId="0" fillId="4" borderId="0" xfId="0" applyNumberFormat="1" applyFill="1"/>
    <xf numFmtId="4" fontId="0" fillId="0" borderId="0" xfId="0" applyNumberFormat="1"/>
  </cellXfs>
  <cellStyles count="3">
    <cellStyle name="Normal" xfId="0" builtinId="0"/>
    <cellStyle name="Normal 3" xfId="2" xr:uid="{DC88AAD3-A6B3-42C6-B33B-2956C9752858}"/>
    <cellStyle name="Normal 4 2 2 2 2" xfId="1" xr:uid="{ADDC65A6-DFB5-44BD-88A2-056435611A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hcjm-my.sharepoint.com/personal/administrador_lh-cjm_com/Documents/COMPRAS%20LH%202026/IMPORTAR%20SISTEMA.xlsm" TargetMode="External"/><Relationship Id="rId1" Type="http://schemas.openxmlformats.org/officeDocument/2006/relationships/externalLinkPath" Target="https://lhcjm-my.sharepoint.com/personal/administrador_lh-cjm_com/Documents/COMPRAS%20LH%202026/IMPORTAR%20SISTE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S"/>
      <sheetName val="MAPEO_IA"/>
      <sheetName val="DATOS"/>
      <sheetName val="COSTEONACIONAL"/>
      <sheetName val="COSTEOEXTRANJERO"/>
      <sheetName val="VBA_IAINTEGRAD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DCD5-BC9B-4C9B-90FA-B9FA274207BE}">
  <dimension ref="A1:O455"/>
  <sheetViews>
    <sheetView tabSelected="1" workbookViewId="0">
      <selection activeCell="A2" sqref="A2"/>
    </sheetView>
  </sheetViews>
  <sheetFormatPr baseColWidth="10" defaultRowHeight="14.4" x14ac:dyDescent="0.3"/>
  <cols>
    <col min="1" max="1" width="29" bestFit="1" customWidth="1"/>
    <col min="5" max="5" width="12" bestFit="1" customWidth="1"/>
    <col min="14" max="14" width="18.77734375" bestFit="1" customWidth="1"/>
    <col min="15" max="15" width="14.33203125" bestFit="1" customWidth="1"/>
  </cols>
  <sheetData>
    <row r="1" spans="1:15" ht="27.6" x14ac:dyDescent="0.3">
      <c r="A1" s="1" t="s">
        <v>0</v>
      </c>
      <c r="B1" s="4" t="s">
        <v>187</v>
      </c>
      <c r="C1" s="4" t="s">
        <v>188</v>
      </c>
      <c r="D1" s="4" t="s">
        <v>192</v>
      </c>
      <c r="E1" s="7" t="s">
        <v>193</v>
      </c>
      <c r="F1" s="4" t="s">
        <v>194</v>
      </c>
      <c r="G1" s="4" t="s">
        <v>195</v>
      </c>
      <c r="H1" s="8" t="s">
        <v>196</v>
      </c>
      <c r="I1" t="s">
        <v>243</v>
      </c>
      <c r="J1" s="11" t="s">
        <v>244</v>
      </c>
      <c r="K1" s="12" t="s">
        <v>245</v>
      </c>
      <c r="L1" s="11" t="s">
        <v>246</v>
      </c>
      <c r="M1" s="11" t="s">
        <v>247</v>
      </c>
      <c r="N1" s="11" t="s">
        <v>248</v>
      </c>
      <c r="O1" s="11" t="s">
        <v>249</v>
      </c>
    </row>
    <row r="2" spans="1:15" x14ac:dyDescent="0.3">
      <c r="A2" s="2" t="s">
        <v>1</v>
      </c>
      <c r="B2" s="2">
        <v>1</v>
      </c>
      <c r="C2" s="2" t="s">
        <v>189</v>
      </c>
      <c r="D2" s="5">
        <v>46057</v>
      </c>
      <c r="E2" s="9">
        <v>20613553488</v>
      </c>
      <c r="F2" s="10" t="s">
        <v>197</v>
      </c>
      <c r="G2" s="10"/>
      <c r="I2" s="13">
        <v>2500</v>
      </c>
      <c r="J2" s="14" t="s">
        <v>250</v>
      </c>
      <c r="K2" s="15" t="s">
        <v>251</v>
      </c>
      <c r="L2" s="16" t="s">
        <v>252</v>
      </c>
      <c r="M2" s="16">
        <v>0.53999986</v>
      </c>
      <c r="N2" s="16">
        <v>1349.99965</v>
      </c>
    </row>
    <row r="3" spans="1:15" x14ac:dyDescent="0.3">
      <c r="A3" s="2" t="s">
        <v>2</v>
      </c>
      <c r="B3" s="2">
        <v>1</v>
      </c>
      <c r="C3" s="2" t="s">
        <v>189</v>
      </c>
      <c r="D3" s="5">
        <v>46064</v>
      </c>
      <c r="E3" s="9">
        <v>10311853029</v>
      </c>
      <c r="F3" s="10" t="s">
        <v>198</v>
      </c>
      <c r="G3" s="10"/>
      <c r="I3" s="13">
        <v>50</v>
      </c>
      <c r="J3" s="17" t="s">
        <v>250</v>
      </c>
      <c r="K3" s="15" t="s">
        <v>253</v>
      </c>
      <c r="L3" s="16" t="s">
        <v>254</v>
      </c>
      <c r="M3" s="16">
        <v>6.2999999399999993</v>
      </c>
      <c r="N3" s="16">
        <v>314.99999699999995</v>
      </c>
    </row>
    <row r="4" spans="1:15" x14ac:dyDescent="0.3">
      <c r="A4" s="2" t="s">
        <v>3</v>
      </c>
      <c r="B4" s="2">
        <v>1</v>
      </c>
      <c r="C4" s="2" t="s">
        <v>189</v>
      </c>
      <c r="D4" s="5">
        <v>46071</v>
      </c>
      <c r="E4" s="9">
        <v>10704360148</v>
      </c>
      <c r="F4" s="10" t="s">
        <v>199</v>
      </c>
      <c r="G4" s="10"/>
      <c r="I4" s="13">
        <v>39</v>
      </c>
      <c r="J4" s="17" t="s">
        <v>250</v>
      </c>
      <c r="K4" s="15" t="s">
        <v>255</v>
      </c>
      <c r="L4" s="16" t="s">
        <v>256</v>
      </c>
      <c r="M4" s="16">
        <v>15.9999999954</v>
      </c>
      <c r="N4" s="16">
        <v>623.99999982060001</v>
      </c>
    </row>
    <row r="5" spans="1:15" x14ac:dyDescent="0.3">
      <c r="A5" s="2" t="s">
        <v>4</v>
      </c>
      <c r="B5" s="2" t="s">
        <v>190</v>
      </c>
      <c r="C5" s="2" t="s">
        <v>189</v>
      </c>
      <c r="D5" s="5">
        <v>46072</v>
      </c>
      <c r="E5" s="9">
        <v>20608800868</v>
      </c>
      <c r="F5" s="10" t="s">
        <v>200</v>
      </c>
      <c r="G5" s="10"/>
      <c r="I5" s="13">
        <v>100</v>
      </c>
      <c r="J5" s="17" t="s">
        <v>250</v>
      </c>
      <c r="K5" s="15" t="s">
        <v>257</v>
      </c>
      <c r="L5" s="16" t="s">
        <v>258</v>
      </c>
      <c r="M5" s="16">
        <v>26.49999999924</v>
      </c>
      <c r="N5" s="16">
        <v>2649.9999999239999</v>
      </c>
      <c r="O5" s="18" t="s">
        <v>259</v>
      </c>
    </row>
    <row r="6" spans="1:15" x14ac:dyDescent="0.3">
      <c r="A6" s="2" t="s">
        <v>5</v>
      </c>
      <c r="B6" s="2" t="s">
        <v>190</v>
      </c>
      <c r="C6" s="2" t="s">
        <v>189</v>
      </c>
      <c r="D6" s="5">
        <v>46072</v>
      </c>
      <c r="E6" s="9">
        <v>20608800868</v>
      </c>
      <c r="F6" s="10" t="s">
        <v>200</v>
      </c>
      <c r="G6" s="10"/>
      <c r="I6" s="13">
        <v>120</v>
      </c>
      <c r="J6" s="17" t="s">
        <v>250</v>
      </c>
      <c r="K6" s="19" t="s">
        <v>260</v>
      </c>
      <c r="L6" s="20" t="s">
        <v>261</v>
      </c>
      <c r="M6" s="16">
        <f>+[1]!PRODUCTOS[[#This Row],[PRECIO]]*18%+[1]!PRODUCTOS[[#This Row],[PRECIO]]</f>
        <v>0.53999986</v>
      </c>
      <c r="N6" s="16">
        <f>+[1]!PRODUCTOS[[#This Row],[PRECIOCIGV]]*[1]!PRODUCTOS[[#This Row],[CANTIDAD]]</f>
        <v>1349.99965</v>
      </c>
      <c r="O6" s="18" t="s">
        <v>259</v>
      </c>
    </row>
    <row r="7" spans="1:15" x14ac:dyDescent="0.3">
      <c r="A7" s="2" t="s">
        <v>5</v>
      </c>
      <c r="B7" s="2" t="s">
        <v>190</v>
      </c>
      <c r="C7" s="2" t="s">
        <v>189</v>
      </c>
      <c r="D7" s="5">
        <v>46072</v>
      </c>
      <c r="E7" s="9">
        <v>20608800868</v>
      </c>
      <c r="F7" s="10" t="s">
        <v>200</v>
      </c>
      <c r="G7" s="10"/>
      <c r="I7" s="13">
        <v>66</v>
      </c>
      <c r="J7" s="17" t="s">
        <v>250</v>
      </c>
      <c r="K7" s="15" t="s">
        <v>257</v>
      </c>
      <c r="L7" s="16" t="s">
        <v>258</v>
      </c>
      <c r="M7" s="16">
        <v>26.49999999924</v>
      </c>
      <c r="N7" s="16">
        <v>1748.99999994984</v>
      </c>
      <c r="O7" s="18" t="s">
        <v>259</v>
      </c>
    </row>
    <row r="8" spans="1:15" x14ac:dyDescent="0.3">
      <c r="A8" s="2" t="s">
        <v>5</v>
      </c>
      <c r="B8" s="2" t="s">
        <v>190</v>
      </c>
      <c r="C8" s="2" t="s">
        <v>189</v>
      </c>
      <c r="D8" s="5">
        <v>46072</v>
      </c>
      <c r="E8" s="9">
        <v>20608800868</v>
      </c>
      <c r="F8" s="10" t="s">
        <v>200</v>
      </c>
      <c r="G8" s="10"/>
      <c r="I8" s="13">
        <v>6</v>
      </c>
      <c r="J8" s="17" t="s">
        <v>262</v>
      </c>
      <c r="K8" s="19" t="s">
        <v>263</v>
      </c>
      <c r="L8" s="20" t="s">
        <v>264</v>
      </c>
      <c r="M8" s="16">
        <v>5.2333333232000001</v>
      </c>
      <c r="N8" s="16">
        <v>31.399999939200001</v>
      </c>
      <c r="O8" s="18" t="s">
        <v>259</v>
      </c>
    </row>
    <row r="9" spans="1:15" x14ac:dyDescent="0.3">
      <c r="A9" s="2" t="s">
        <v>6</v>
      </c>
      <c r="B9" s="2">
        <v>1</v>
      </c>
      <c r="C9" s="2" t="s">
        <v>189</v>
      </c>
      <c r="D9" s="5">
        <v>46076</v>
      </c>
      <c r="E9" s="9">
        <v>10481237811</v>
      </c>
      <c r="F9" s="10" t="s">
        <v>201</v>
      </c>
      <c r="G9" s="10"/>
      <c r="I9" s="13">
        <f>+[1]!PRODUCTOS[[#This Row],[CANT.]]</f>
        <v>100</v>
      </c>
      <c r="J9" s="21" t="s">
        <v>250</v>
      </c>
      <c r="K9" s="19" t="s">
        <v>265</v>
      </c>
      <c r="L9" s="20" t="s">
        <v>266</v>
      </c>
      <c r="M9" s="16">
        <f>+[1]!PRODUCTOS[[#This Row],[PRECIO]]*18%+[1]!PRODUCTOS[[#This Row],[PRECIO]]</f>
        <v>26.499999999240003</v>
      </c>
      <c r="N9" s="16">
        <f>+[1]!PRODUCTOS[[#This Row],[PRECIOCIGV]]*[1]!PRODUCTOS[[#This Row],[CANTIDAD]]</f>
        <v>2649.9999999239999</v>
      </c>
    </row>
    <row r="10" spans="1:15" x14ac:dyDescent="0.3">
      <c r="A10" s="2" t="s">
        <v>6</v>
      </c>
      <c r="B10" s="2">
        <v>1</v>
      </c>
      <c r="C10" s="2" t="s">
        <v>189</v>
      </c>
      <c r="D10" s="5">
        <v>46076</v>
      </c>
      <c r="E10" s="9">
        <v>10481237811</v>
      </c>
      <c r="F10" s="10" t="s">
        <v>201</v>
      </c>
      <c r="G10" s="10"/>
      <c r="I10" s="13">
        <v>25</v>
      </c>
      <c r="J10" s="17" t="s">
        <v>250</v>
      </c>
      <c r="K10" s="19" t="s">
        <v>267</v>
      </c>
      <c r="L10" s="20" t="s">
        <v>268</v>
      </c>
      <c r="M10" s="16">
        <v>4.7999999997999998</v>
      </c>
      <c r="N10" s="16">
        <v>119.999999995</v>
      </c>
    </row>
    <row r="11" spans="1:15" x14ac:dyDescent="0.3">
      <c r="A11" s="2" t="s">
        <v>6</v>
      </c>
      <c r="B11" s="2">
        <v>1</v>
      </c>
      <c r="C11" s="2" t="s">
        <v>189</v>
      </c>
      <c r="D11" s="5">
        <v>46076</v>
      </c>
      <c r="E11" s="9">
        <v>10481237811</v>
      </c>
      <c r="F11" s="10" t="s">
        <v>201</v>
      </c>
      <c r="G11" s="10"/>
      <c r="I11" s="13">
        <f>+[1]!PRODUCTOS[[#This Row],[CANT.]]</f>
        <v>66</v>
      </c>
      <c r="J11" s="21" t="s">
        <v>250</v>
      </c>
      <c r="K11" s="19" t="s">
        <v>269</v>
      </c>
      <c r="L11" s="20" t="s">
        <v>270</v>
      </c>
      <c r="M11" s="16">
        <f>+[1]!PRODUCTOS[[#This Row],[PRECIO]]*18%+[1]!PRODUCTOS[[#This Row],[PRECIO]]</f>
        <v>26.499999999240003</v>
      </c>
      <c r="N11" s="16">
        <f>+[1]!PRODUCTOS[[#This Row],[PRECIOCIGV]]*[1]!PRODUCTOS[[#This Row],[CANTIDAD]]</f>
        <v>1748.99999994984</v>
      </c>
    </row>
    <row r="12" spans="1:15" x14ac:dyDescent="0.3">
      <c r="A12" s="2" t="s">
        <v>6</v>
      </c>
      <c r="B12" s="2">
        <v>1</v>
      </c>
      <c r="C12" s="2" t="s">
        <v>189</v>
      </c>
      <c r="D12" s="5">
        <v>46076</v>
      </c>
      <c r="E12" s="9">
        <v>10481237811</v>
      </c>
      <c r="F12" s="10" t="s">
        <v>201</v>
      </c>
      <c r="G12" s="10"/>
      <c r="I12" s="13">
        <f>+[1]!PRODUCTOS[[#This Row],[CANT.]]</f>
        <v>6</v>
      </c>
      <c r="J12" s="17" t="s">
        <v>271</v>
      </c>
      <c r="K12" s="19" t="s">
        <v>272</v>
      </c>
      <c r="L12" s="20" t="s">
        <v>273</v>
      </c>
      <c r="M12" s="16">
        <f>+[1]!PRODUCTOS[[#This Row],[PRECIO]]*18%+[1]!PRODUCTOS[[#This Row],[PRECIO]]</f>
        <v>5.2333333232000001</v>
      </c>
      <c r="N12" s="16">
        <f>+[1]!PRODUCTOS[[#This Row],[PRECIOCIGV]]*[1]!PRODUCTOS[[#This Row],[CANTIDAD]]</f>
        <v>31.399999939200001</v>
      </c>
    </row>
    <row r="13" spans="1:15" x14ac:dyDescent="0.3">
      <c r="A13" s="2" t="s">
        <v>7</v>
      </c>
      <c r="B13" s="2">
        <v>1</v>
      </c>
      <c r="C13" s="2" t="s">
        <v>189</v>
      </c>
      <c r="D13" s="5">
        <v>46083</v>
      </c>
      <c r="E13" s="9">
        <v>20100150736</v>
      </c>
      <c r="F13" s="10" t="s">
        <v>202</v>
      </c>
      <c r="G13" s="10"/>
      <c r="I13" s="13">
        <f>+[1]!PRODUCTOS[[#This Row],[CANT.]]</f>
        <v>300</v>
      </c>
      <c r="J13" s="17" t="s">
        <v>250</v>
      </c>
      <c r="K13" s="15" t="s">
        <v>274</v>
      </c>
      <c r="L13" s="16" t="s">
        <v>275</v>
      </c>
      <c r="M13" s="16">
        <f>+[1]!PRODUCTOS[[#This Row],[PRECIO]]*18%+[1]!PRODUCTOS[[#This Row],[PRECIO]]</f>
        <v>1.1000000001999999</v>
      </c>
      <c r="N13" s="16">
        <f>+[1]!PRODUCTOS[[#This Row],[PRECIOCIGV]]*[1]!PRODUCTOS[[#This Row],[CANTIDAD]]</f>
        <v>330.00000005999999</v>
      </c>
    </row>
    <row r="14" spans="1:15" x14ac:dyDescent="0.3">
      <c r="A14" s="2" t="s">
        <v>7</v>
      </c>
      <c r="B14" s="2">
        <v>1</v>
      </c>
      <c r="C14" s="2" t="s">
        <v>189</v>
      </c>
      <c r="D14" s="5">
        <v>46083</v>
      </c>
      <c r="E14" s="9">
        <v>20100150736</v>
      </c>
      <c r="F14" s="10" t="s">
        <v>202</v>
      </c>
      <c r="G14" s="10"/>
      <c r="I14" s="13">
        <f>+[1]!PRODUCTOS[[#This Row],[CANT.]]</f>
        <v>25</v>
      </c>
      <c r="J14" s="17" t="s">
        <v>250</v>
      </c>
      <c r="K14" s="15" t="s">
        <v>276</v>
      </c>
      <c r="L14" s="16" t="s">
        <v>277</v>
      </c>
      <c r="M14" s="16">
        <f>+[1]!PRODUCTOS[[#This Row],[PRECIO]]*18%+[1]!PRODUCTOS[[#This Row],[PRECIO]]</f>
        <v>4.7999999998000007</v>
      </c>
      <c r="N14" s="16">
        <f>+[1]!PRODUCTOS[[#This Row],[PRECIOCIGV]]*[1]!PRODUCTOS[[#This Row],[CANTIDAD]]</f>
        <v>119.999999995</v>
      </c>
    </row>
    <row r="15" spans="1:15" x14ac:dyDescent="0.3">
      <c r="A15" s="2" t="s">
        <v>8</v>
      </c>
      <c r="B15" s="2">
        <v>1</v>
      </c>
      <c r="C15" s="2" t="s">
        <v>189</v>
      </c>
      <c r="D15" s="5">
        <v>46084</v>
      </c>
      <c r="E15" s="9">
        <v>20448121691</v>
      </c>
      <c r="F15" s="10" t="s">
        <v>203</v>
      </c>
      <c r="G15" s="10"/>
      <c r="I15" s="13">
        <v>12</v>
      </c>
      <c r="J15" s="17" t="s">
        <v>250</v>
      </c>
      <c r="K15" s="15" t="s">
        <v>278</v>
      </c>
      <c r="L15" s="16" t="s">
        <v>279</v>
      </c>
      <c r="M15" s="16">
        <v>7.9999999999419993</v>
      </c>
      <c r="N15" s="16">
        <v>95.999999999303995</v>
      </c>
    </row>
    <row r="16" spans="1:15" x14ac:dyDescent="0.3">
      <c r="A16" s="2" t="s">
        <v>8</v>
      </c>
      <c r="B16" s="2">
        <v>1</v>
      </c>
      <c r="C16" s="2" t="s">
        <v>189</v>
      </c>
      <c r="D16" s="5">
        <v>46084</v>
      </c>
      <c r="E16" s="9">
        <v>20448121691</v>
      </c>
      <c r="F16" s="10" t="s">
        <v>203</v>
      </c>
      <c r="G16" s="10"/>
      <c r="I16" s="13">
        <v>12</v>
      </c>
      <c r="J16" s="17" t="s">
        <v>250</v>
      </c>
      <c r="K16" s="15" t="s">
        <v>280</v>
      </c>
      <c r="L16" s="16" t="s">
        <v>281</v>
      </c>
      <c r="M16" s="16">
        <v>7.8333333333379995</v>
      </c>
      <c r="N16" s="16">
        <v>94.000000000055991</v>
      </c>
    </row>
    <row r="17" spans="1:14" x14ac:dyDescent="0.3">
      <c r="A17" s="2" t="s">
        <v>9</v>
      </c>
      <c r="B17" s="2">
        <v>1</v>
      </c>
      <c r="C17" s="2" t="s">
        <v>189</v>
      </c>
      <c r="D17" s="5">
        <v>46085</v>
      </c>
      <c r="E17" s="9">
        <v>10428029998</v>
      </c>
      <c r="F17" s="10" t="s">
        <v>204</v>
      </c>
      <c r="G17" s="10"/>
      <c r="I17" s="13">
        <f>+[1]!PRODUCTOS[[#This Row],[CANT.]]*5</f>
        <v>285</v>
      </c>
      <c r="J17" s="17" t="s">
        <v>250</v>
      </c>
      <c r="K17" s="15" t="s">
        <v>282</v>
      </c>
      <c r="L17" s="16" t="s">
        <v>283</v>
      </c>
      <c r="M17" s="16">
        <f>+[1]!PRODUCTOS[[#This Row],[PRECIO]]*18%+[1]!PRODUCTOS[[#This Row],[PRECIO]]</f>
        <v>8.2320835599999995</v>
      </c>
      <c r="N17" s="16">
        <f>+[1]!PRODUCTOS[[#This Row],[PRECIOCIGV]]*[1]!PRODUCTOS[[#This Row],[CANTIDAD]]</f>
        <v>469.22876291999995</v>
      </c>
    </row>
    <row r="18" spans="1:14" x14ac:dyDescent="0.3">
      <c r="A18" s="2" t="s">
        <v>9</v>
      </c>
      <c r="B18" s="2">
        <v>1</v>
      </c>
      <c r="C18" s="2" t="s">
        <v>189</v>
      </c>
      <c r="D18" s="5">
        <v>46085</v>
      </c>
      <c r="E18" s="9">
        <v>10428029998</v>
      </c>
      <c r="F18" s="10" t="s">
        <v>204</v>
      </c>
      <c r="G18" s="10"/>
      <c r="I18" s="13">
        <v>10</v>
      </c>
      <c r="J18" s="17" t="s">
        <v>250</v>
      </c>
      <c r="K18" s="15" t="s">
        <v>284</v>
      </c>
      <c r="L18" s="16" t="s">
        <v>285</v>
      </c>
      <c r="M18" s="16">
        <v>6.4999999999159996</v>
      </c>
      <c r="N18" s="16">
        <v>64.999999999159996</v>
      </c>
    </row>
    <row r="19" spans="1:14" x14ac:dyDescent="0.3">
      <c r="A19" s="2" t="s">
        <v>9</v>
      </c>
      <c r="B19" s="2">
        <v>1</v>
      </c>
      <c r="C19" s="2" t="s">
        <v>189</v>
      </c>
      <c r="D19" s="5">
        <v>46085</v>
      </c>
      <c r="E19" s="9">
        <v>10428029998</v>
      </c>
      <c r="F19" s="10" t="s">
        <v>204</v>
      </c>
      <c r="G19" s="10"/>
      <c r="I19" s="13">
        <v>24</v>
      </c>
      <c r="J19" s="21" t="s">
        <v>250</v>
      </c>
      <c r="K19" s="19" t="s">
        <v>286</v>
      </c>
      <c r="L19" s="20" t="s">
        <v>287</v>
      </c>
      <c r="M19" s="16">
        <f>+[1]!PRODUCTOS[[#This Row],[PRECIO]]*18%+[1]!PRODUCTOS[[#This Row],[PRECIO]]</f>
        <v>7.9999999999419993</v>
      </c>
      <c r="N19" s="16">
        <f>+[1]!PRODUCTOS[[#This Row],[PRECIOCIGV]]*[1]!PRODUCTOS[[#This Row],[CANTIDAD]]</f>
        <v>95.999999999303995</v>
      </c>
    </row>
    <row r="20" spans="1:14" x14ac:dyDescent="0.3">
      <c r="A20" s="2" t="s">
        <v>9</v>
      </c>
      <c r="B20" s="2">
        <v>1</v>
      </c>
      <c r="C20" s="2" t="s">
        <v>189</v>
      </c>
      <c r="D20" s="5">
        <v>46085</v>
      </c>
      <c r="E20" s="9">
        <v>10428029998</v>
      </c>
      <c r="F20" s="10" t="s">
        <v>204</v>
      </c>
      <c r="G20" s="10"/>
      <c r="I20" s="13">
        <v>10</v>
      </c>
      <c r="J20" s="21" t="s">
        <v>250</v>
      </c>
      <c r="K20" s="19" t="s">
        <v>288</v>
      </c>
      <c r="L20" s="20" t="s">
        <v>289</v>
      </c>
      <c r="M20" s="16">
        <f>+[1]!PRODUCTOS[[#This Row],[PRECIO]]*18%+[1]!PRODUCTOS[[#This Row],[PRECIO]]</f>
        <v>7.8333333333380004</v>
      </c>
      <c r="N20" s="16">
        <f>+[1]!PRODUCTOS[[#This Row],[PRECIOCIGV]]*[1]!PRODUCTOS[[#This Row],[CANTIDAD]]</f>
        <v>94.000000000055991</v>
      </c>
    </row>
    <row r="21" spans="1:14" x14ac:dyDescent="0.3">
      <c r="A21" s="2" t="s">
        <v>9</v>
      </c>
      <c r="B21" s="2">
        <v>1</v>
      </c>
      <c r="C21" s="2" t="s">
        <v>189</v>
      </c>
      <c r="D21" s="5">
        <v>46085</v>
      </c>
      <c r="E21" s="9">
        <v>10428029998</v>
      </c>
      <c r="F21" s="10" t="s">
        <v>204</v>
      </c>
      <c r="G21" s="10"/>
      <c r="I21" s="13">
        <v>3</v>
      </c>
      <c r="J21" s="17" t="s">
        <v>250</v>
      </c>
      <c r="K21" s="19" t="s">
        <v>290</v>
      </c>
      <c r="L21" s="20" t="s">
        <v>291</v>
      </c>
      <c r="M21" s="16">
        <v>26.000000000017998</v>
      </c>
      <c r="N21" s="16">
        <v>78.000000000054001</v>
      </c>
    </row>
    <row r="22" spans="1:14" x14ac:dyDescent="0.3">
      <c r="A22" s="2" t="s">
        <v>10</v>
      </c>
      <c r="B22" s="2">
        <v>1</v>
      </c>
      <c r="C22" s="2" t="s">
        <v>189</v>
      </c>
      <c r="D22" s="5">
        <v>46085</v>
      </c>
      <c r="E22" s="9">
        <v>20614322986</v>
      </c>
      <c r="F22" s="10" t="s">
        <v>205</v>
      </c>
      <c r="G22" s="10"/>
      <c r="I22" s="13">
        <f>+[1]!PRODUCTOS[[#This Row],[CANT.]]</f>
        <v>10</v>
      </c>
      <c r="J22" s="21" t="s">
        <v>250</v>
      </c>
      <c r="K22" s="19" t="s">
        <v>292</v>
      </c>
      <c r="L22" s="20" t="s">
        <v>293</v>
      </c>
      <c r="M22" s="16">
        <f>+[1]!PRODUCTOS[[#This Row],[PRECIO]]*18%+[1]!PRODUCTOS[[#This Row],[PRECIO]]</f>
        <v>6.4999999999160005</v>
      </c>
      <c r="N22" s="16">
        <f>+[1]!PRODUCTOS[[#This Row],[PRECIOCIGV]]*[1]!PRODUCTOS[[#This Row],[CANTIDAD]]</f>
        <v>64.999999999159996</v>
      </c>
    </row>
    <row r="23" spans="1:14" x14ac:dyDescent="0.3">
      <c r="A23" s="2" t="s">
        <v>10</v>
      </c>
      <c r="B23" s="2">
        <v>1</v>
      </c>
      <c r="C23" s="2" t="s">
        <v>189</v>
      </c>
      <c r="D23" s="5">
        <v>46085</v>
      </c>
      <c r="E23" s="9">
        <v>20614322986</v>
      </c>
      <c r="F23" s="10" t="s">
        <v>205</v>
      </c>
      <c r="G23" s="10"/>
      <c r="I23" s="13">
        <f>+[1]!PRODUCTOS[[#This Row],[CANT.]]</f>
        <v>2</v>
      </c>
      <c r="J23" s="21" t="s">
        <v>250</v>
      </c>
      <c r="K23" s="19" t="s">
        <v>292</v>
      </c>
      <c r="L23" s="20" t="s">
        <v>293</v>
      </c>
      <c r="M23" s="16">
        <f>+[1]!PRODUCTOS[[#This Row],[PRECIO]]*18%+[1]!PRODUCTOS[[#This Row],[PRECIO]]</f>
        <v>2.5000000000039999</v>
      </c>
      <c r="N23" s="16">
        <f>+[1]!PRODUCTOS[[#This Row],[PRECIOCIGV]]*[1]!PRODUCTOS[[#This Row],[CANTIDAD]]</f>
        <v>60.000000000095994</v>
      </c>
    </row>
    <row r="24" spans="1:14" x14ac:dyDescent="0.3">
      <c r="A24" s="2" t="s">
        <v>11</v>
      </c>
      <c r="B24" s="2">
        <v>1</v>
      </c>
      <c r="C24" s="2" t="s">
        <v>189</v>
      </c>
      <c r="D24" s="5">
        <v>46086</v>
      </c>
      <c r="E24" s="9">
        <v>10435078937</v>
      </c>
      <c r="F24" s="10" t="s">
        <v>206</v>
      </c>
      <c r="G24" s="10"/>
      <c r="I24" s="13">
        <v>10</v>
      </c>
      <c r="J24" s="17" t="s">
        <v>250</v>
      </c>
      <c r="K24" s="19" t="s">
        <v>294</v>
      </c>
      <c r="L24" s="20" t="s">
        <v>295</v>
      </c>
      <c r="M24" s="16">
        <f>+[1]!PRODUCTOS[[#This Row],[PRECIO]]*18%+[1]!PRODUCTOS[[#This Row],[PRECIO]]</f>
        <v>11.999999999971999</v>
      </c>
      <c r="N24" s="16">
        <f>+[1]!PRODUCTOS[[#This Row],[PRECIOCIGV]]*[1]!PRODUCTOS[[#This Row],[CANTIDAD]]</f>
        <v>119.99999999971999</v>
      </c>
    </row>
    <row r="25" spans="1:14" x14ac:dyDescent="0.3">
      <c r="A25" s="2" t="s">
        <v>11</v>
      </c>
      <c r="B25" s="2">
        <v>1</v>
      </c>
      <c r="C25" s="2" t="s">
        <v>189</v>
      </c>
      <c r="D25" s="5">
        <v>46086</v>
      </c>
      <c r="E25" s="9">
        <v>10435078937</v>
      </c>
      <c r="F25" s="10" t="s">
        <v>206</v>
      </c>
      <c r="G25" s="10"/>
      <c r="I25" s="13">
        <v>10</v>
      </c>
      <c r="J25" s="21" t="s">
        <v>250</v>
      </c>
      <c r="K25" s="19" t="s">
        <v>296</v>
      </c>
      <c r="L25" s="20" t="s">
        <v>297</v>
      </c>
      <c r="M25" s="16">
        <f>+[1]!PRODUCTOS[[#This Row],[PRECIO]]*18%+[1]!PRODUCTOS[[#This Row],[PRECIO]]</f>
        <v>26.000000000017998</v>
      </c>
      <c r="N25" s="16">
        <f>+[1]!PRODUCTOS[[#This Row],[PRECIOCIGV]]*[1]!PRODUCTOS[[#This Row],[CANTIDAD]]</f>
        <v>78.000000000054001</v>
      </c>
    </row>
    <row r="26" spans="1:14" x14ac:dyDescent="0.3">
      <c r="A26" s="2" t="s">
        <v>11</v>
      </c>
      <c r="B26" s="2">
        <v>1</v>
      </c>
      <c r="C26" s="2" t="s">
        <v>189</v>
      </c>
      <c r="D26" s="5">
        <v>46086</v>
      </c>
      <c r="E26" s="9">
        <v>10435078937</v>
      </c>
      <c r="F26" s="10" t="s">
        <v>206</v>
      </c>
      <c r="G26" s="10"/>
      <c r="I26" s="13">
        <v>10</v>
      </c>
      <c r="J26" s="21" t="s">
        <v>250</v>
      </c>
      <c r="K26" s="19" t="s">
        <v>298</v>
      </c>
      <c r="L26" s="20" t="s">
        <v>299</v>
      </c>
      <c r="M26" s="16">
        <f>+[1]!PRODUCTOS[[#This Row],[PRECIO]]*18%+[1]!PRODUCTOS[[#This Row],[PRECIO]]</f>
        <v>9.7499999999919993</v>
      </c>
      <c r="N26" s="16">
        <f>+[1]!PRODUCTOS[[#This Row],[PRECIOCIGV]]*[1]!PRODUCTOS[[#This Row],[CANTIDAD]]</f>
        <v>116.99999999990399</v>
      </c>
    </row>
    <row r="27" spans="1:14" x14ac:dyDescent="0.3">
      <c r="A27" s="2" t="s">
        <v>11</v>
      </c>
      <c r="B27" s="2">
        <v>1</v>
      </c>
      <c r="C27" s="2" t="s">
        <v>189</v>
      </c>
      <c r="D27" s="5">
        <v>46086</v>
      </c>
      <c r="E27" s="9">
        <v>10435078937</v>
      </c>
      <c r="F27" s="10" t="s">
        <v>206</v>
      </c>
      <c r="G27" s="10"/>
      <c r="I27" s="13">
        <f>+[1]!PRODUCTOS[[#This Row],[CANT.]]</f>
        <v>1</v>
      </c>
      <c r="J27" s="17" t="s">
        <v>250</v>
      </c>
      <c r="K27" s="19" t="s">
        <v>300</v>
      </c>
      <c r="L27" s="20" t="s">
        <v>301</v>
      </c>
      <c r="M27" s="16">
        <f>+[1]!PRODUCTOS[[#This Row],[PRECIO]]*18%+[1]!PRODUCTOS[[#This Row],[PRECIO]]</f>
        <v>0</v>
      </c>
      <c r="N27" s="16">
        <f>+[1]!PRODUCTOS[[#This Row],[PRECIOCIGV]]*[1]!PRODUCTOS[[#This Row],[CANTIDAD]]</f>
        <v>0</v>
      </c>
    </row>
    <row r="28" spans="1:14" x14ac:dyDescent="0.3">
      <c r="A28" s="2" t="s">
        <v>11</v>
      </c>
      <c r="B28" s="2">
        <v>1</v>
      </c>
      <c r="C28" s="2" t="s">
        <v>189</v>
      </c>
      <c r="D28" s="5">
        <v>46086</v>
      </c>
      <c r="E28" s="9">
        <v>10435078937</v>
      </c>
      <c r="F28" s="10" t="s">
        <v>206</v>
      </c>
      <c r="G28" s="10"/>
      <c r="I28" s="13">
        <f>+[1]!PRODUCTOS[[#This Row],[CANT.]]</f>
        <v>1</v>
      </c>
      <c r="J28" s="17" t="s">
        <v>250</v>
      </c>
      <c r="K28" s="19" t="s">
        <v>302</v>
      </c>
      <c r="L28" s="20" t="s">
        <v>303</v>
      </c>
      <c r="M28" s="16">
        <f>+[1]!PRODUCTOS[[#This Row],[PRECIO]]*18%+[1]!PRODUCTOS[[#This Row],[PRECIO]]</f>
        <v>1.3994799999999998</v>
      </c>
      <c r="N28" s="16">
        <f>+[1]!PRODUCTOS[[#This Row],[PRECIOCIGV]]*[1]!PRODUCTOS[[#This Row],[CANTIDAD]]</f>
        <v>13.994799999999998</v>
      </c>
    </row>
    <row r="29" spans="1:14" x14ac:dyDescent="0.3">
      <c r="A29" s="2" t="s">
        <v>12</v>
      </c>
      <c r="B29" s="2">
        <v>1</v>
      </c>
      <c r="C29" s="2" t="s">
        <v>189</v>
      </c>
      <c r="D29" s="5">
        <v>46086</v>
      </c>
      <c r="E29" s="9">
        <v>20611560894</v>
      </c>
      <c r="F29" s="10" t="s">
        <v>207</v>
      </c>
      <c r="G29" s="10"/>
      <c r="I29" s="13">
        <v>6</v>
      </c>
      <c r="J29" s="17" t="s">
        <v>250</v>
      </c>
      <c r="K29" s="19" t="s">
        <v>304</v>
      </c>
      <c r="L29" s="20" t="s">
        <v>305</v>
      </c>
      <c r="M29" s="16">
        <f>+[1]!PRODUCTOS[[#This Row],[PRECIO]]*18%+[1]!PRODUCTOS[[#This Row],[PRECIO]]</f>
        <v>1.3994799999999998</v>
      </c>
      <c r="N29" s="16">
        <v>44.999984400000002</v>
      </c>
    </row>
    <row r="30" spans="1:14" x14ac:dyDescent="0.3">
      <c r="A30" s="2" t="s">
        <v>12</v>
      </c>
      <c r="B30" s="2">
        <v>1</v>
      </c>
      <c r="C30" s="2" t="s">
        <v>189</v>
      </c>
      <c r="D30" s="5">
        <v>46086</v>
      </c>
      <c r="E30" s="9">
        <v>20611560894</v>
      </c>
      <c r="F30" s="10" t="s">
        <v>207</v>
      </c>
      <c r="G30" s="10"/>
      <c r="I30" s="13">
        <v>12</v>
      </c>
      <c r="J30" s="17" t="s">
        <v>250</v>
      </c>
      <c r="K30" s="19" t="s">
        <v>306</v>
      </c>
      <c r="L30" s="20" t="s">
        <v>307</v>
      </c>
      <c r="M30" s="16">
        <f>+[1]!PRODUCTOS[[#This Row],[PRECIO]]*18%+[1]!PRODUCTOS[[#This Row],[PRECIO]]</f>
        <v>1.4997800000000001</v>
      </c>
      <c r="N30" s="16">
        <f>+[1]!PRODUCTOS[[#This Row],[PRECIOCIGV]]*[1]!PRODUCTOS[[#This Row],[CANTIDAD]]</f>
        <v>14.997800000000002</v>
      </c>
    </row>
    <row r="31" spans="1:14" x14ac:dyDescent="0.3">
      <c r="A31" s="2" t="s">
        <v>12</v>
      </c>
      <c r="B31" s="2">
        <v>1</v>
      </c>
      <c r="C31" s="2" t="s">
        <v>189</v>
      </c>
      <c r="D31" s="5">
        <v>46086</v>
      </c>
      <c r="E31" s="9">
        <v>20611560894</v>
      </c>
      <c r="F31" s="10" t="s">
        <v>207</v>
      </c>
      <c r="G31" s="10"/>
      <c r="I31" s="13">
        <v>6</v>
      </c>
      <c r="J31" s="17" t="s">
        <v>250</v>
      </c>
      <c r="K31" s="19" t="s">
        <v>308</v>
      </c>
      <c r="L31" s="20" t="s">
        <v>309</v>
      </c>
      <c r="M31" s="16">
        <v>18.9999942</v>
      </c>
      <c r="N31" s="16">
        <v>113.99996519999999</v>
      </c>
    </row>
    <row r="32" spans="1:14" x14ac:dyDescent="0.3">
      <c r="A32" s="2" t="s">
        <v>12</v>
      </c>
      <c r="B32" s="2">
        <v>1</v>
      </c>
      <c r="C32" s="2" t="s">
        <v>189</v>
      </c>
      <c r="D32" s="5">
        <v>46086</v>
      </c>
      <c r="E32" s="9">
        <v>20611560894</v>
      </c>
      <c r="F32" s="10" t="s">
        <v>207</v>
      </c>
      <c r="G32" s="10"/>
      <c r="I32" s="13">
        <v>10</v>
      </c>
      <c r="J32" s="17" t="s">
        <v>250</v>
      </c>
      <c r="K32" s="19" t="s">
        <v>310</v>
      </c>
      <c r="L32" s="20" t="s">
        <v>311</v>
      </c>
      <c r="M32" s="16">
        <f>+[1]!PRODUCTOS[[#This Row],[PRECIO]]*18%+[1]!PRODUCTOS[[#This Row],[PRECIO]]</f>
        <v>11.988799999999999</v>
      </c>
      <c r="N32" s="16">
        <f>+[1]!PRODUCTOS[[#This Row],[PRECIOCIGV]]*[1]!PRODUCTOS[[#This Row],[CANTIDAD]]</f>
        <v>71.9328</v>
      </c>
    </row>
    <row r="33" spans="1:14" x14ac:dyDescent="0.3">
      <c r="A33" s="2" t="s">
        <v>12</v>
      </c>
      <c r="B33" s="2">
        <v>1</v>
      </c>
      <c r="C33" s="2" t="s">
        <v>189</v>
      </c>
      <c r="D33" s="5">
        <v>46086</v>
      </c>
      <c r="E33" s="9">
        <v>20611560894</v>
      </c>
      <c r="F33" s="10" t="s">
        <v>207</v>
      </c>
      <c r="G33" s="10"/>
      <c r="I33" s="13">
        <v>12</v>
      </c>
      <c r="J33" s="17" t="s">
        <v>250</v>
      </c>
      <c r="K33" s="19" t="s">
        <v>312</v>
      </c>
      <c r="L33" s="20" t="s">
        <v>313</v>
      </c>
      <c r="M33" s="16">
        <f>+[1]!PRODUCTOS[[#This Row],[PRECIO]]*18%+[1]!PRODUCTOS[[#This Row],[PRECIO]]</f>
        <v>7.4999973999999998</v>
      </c>
      <c r="N33" s="16">
        <f>+[1]!PRODUCTOS[[#This Row],[PRECIOCIGV]]*[1]!PRODUCTOS[[#This Row],[CANTIDAD]]</f>
        <v>44.999984400000002</v>
      </c>
    </row>
    <row r="34" spans="1:14" x14ac:dyDescent="0.3">
      <c r="A34" s="2" t="s">
        <v>12</v>
      </c>
      <c r="B34" s="2">
        <v>1</v>
      </c>
      <c r="C34" s="2" t="s">
        <v>189</v>
      </c>
      <c r="D34" s="5">
        <v>46086</v>
      </c>
      <c r="E34" s="9">
        <v>20611560894</v>
      </c>
      <c r="F34" s="10" t="s">
        <v>207</v>
      </c>
      <c r="G34" s="10"/>
      <c r="I34" s="13">
        <f>+[1]!PRODUCTOS[[#This Row],[CANT.]]</f>
        <v>12</v>
      </c>
      <c r="J34" s="17" t="s">
        <v>250</v>
      </c>
      <c r="K34" s="19" t="s">
        <v>314</v>
      </c>
      <c r="L34" s="20" t="s">
        <v>315</v>
      </c>
      <c r="M34" s="16">
        <f>+[1]!PRODUCTOS[[#This Row],[PRECIO]]*18%+[1]!PRODUCTOS[[#This Row],[PRECIO]]</f>
        <v>2.7000051999999997</v>
      </c>
      <c r="N34" s="16">
        <f>+[1]!PRODUCTOS[[#This Row],[PRECIOCIGV]]*[1]!PRODUCTOS[[#This Row],[CANTIDAD]]</f>
        <v>32.400062399999996</v>
      </c>
    </row>
    <row r="35" spans="1:14" x14ac:dyDescent="0.3">
      <c r="A35" s="2" t="s">
        <v>12</v>
      </c>
      <c r="B35" s="2">
        <v>1</v>
      </c>
      <c r="C35" s="2" t="s">
        <v>189</v>
      </c>
      <c r="D35" s="5">
        <v>46086</v>
      </c>
      <c r="E35" s="9">
        <v>20611560894</v>
      </c>
      <c r="F35" s="10" t="s">
        <v>207</v>
      </c>
      <c r="G35" s="10"/>
      <c r="I35" s="13">
        <f>+[1]!PRODUCTOS[[#This Row],[CANT.]]</f>
        <v>6</v>
      </c>
      <c r="J35" s="19" t="s">
        <v>262</v>
      </c>
      <c r="K35" s="19" t="s">
        <v>316</v>
      </c>
      <c r="L35" s="20" t="s">
        <v>317</v>
      </c>
      <c r="M35" s="16">
        <f>+[1]!PRODUCTOS[[#This Row],[PRECIO]]*18%+[1]!PRODUCTOS[[#This Row],[PRECIO]]</f>
        <v>18.999994200000003</v>
      </c>
      <c r="N35" s="16">
        <f>+[1]!PRODUCTOS[[#This Row],[PRECIOCIGV]]*[1]!PRODUCTOS[[#This Row],[CANTIDAD]]</f>
        <v>113.99996519999999</v>
      </c>
    </row>
    <row r="36" spans="1:14" x14ac:dyDescent="0.3">
      <c r="A36" s="2" t="s">
        <v>12</v>
      </c>
      <c r="B36" s="2">
        <v>1</v>
      </c>
      <c r="C36" s="2" t="s">
        <v>189</v>
      </c>
      <c r="D36" s="5">
        <v>46086</v>
      </c>
      <c r="E36" s="9">
        <v>20611560894</v>
      </c>
      <c r="F36" s="10" t="s">
        <v>207</v>
      </c>
      <c r="G36" s="10"/>
      <c r="I36" s="13">
        <f>+[1]!PRODUCTOS[[#This Row],[CANT.]]</f>
        <v>1</v>
      </c>
      <c r="J36" s="19" t="s">
        <v>262</v>
      </c>
      <c r="K36" s="19" t="s">
        <v>316</v>
      </c>
      <c r="L36" s="20" t="s">
        <v>317</v>
      </c>
      <c r="M36" s="16">
        <f>+[1]!PRODUCTOS[[#This Row],[PRECIO]]*18%+[1]!PRODUCTOS[[#This Row],[PRECIO]]</f>
        <v>2.6000001999999998</v>
      </c>
      <c r="N36" s="16">
        <f>+[1]!PRODUCTOS[[#This Row],[PRECIOCIGV]]*[1]!PRODUCTOS[[#This Row],[CANTIDAD]]</f>
        <v>26.000001999999999</v>
      </c>
    </row>
    <row r="37" spans="1:14" x14ac:dyDescent="0.3">
      <c r="A37" s="2" t="s">
        <v>13</v>
      </c>
      <c r="B37" s="2">
        <v>1</v>
      </c>
      <c r="C37" s="2" t="s">
        <v>189</v>
      </c>
      <c r="D37" s="5">
        <v>46086</v>
      </c>
      <c r="E37" s="9">
        <v>10075171868</v>
      </c>
      <c r="F37" s="10" t="s">
        <v>208</v>
      </c>
      <c r="G37" s="10"/>
      <c r="I37" s="13">
        <v>24</v>
      </c>
      <c r="J37" s="17" t="s">
        <v>250</v>
      </c>
      <c r="K37" s="15" t="s">
        <v>318</v>
      </c>
      <c r="L37" s="16" t="s">
        <v>319</v>
      </c>
      <c r="M37" s="16">
        <v>73.999999999079989</v>
      </c>
      <c r="N37" s="16">
        <v>1775.9999999779197</v>
      </c>
    </row>
    <row r="38" spans="1:14" x14ac:dyDescent="0.3">
      <c r="A38" s="2" t="s">
        <v>14</v>
      </c>
      <c r="B38" s="2">
        <v>1</v>
      </c>
      <c r="C38" s="2" t="s">
        <v>189</v>
      </c>
      <c r="D38" s="5">
        <v>46087</v>
      </c>
      <c r="E38" s="9">
        <v>20100265479</v>
      </c>
      <c r="F38" s="10" t="s">
        <v>209</v>
      </c>
      <c r="G38" s="10"/>
      <c r="I38" s="13">
        <v>25</v>
      </c>
      <c r="J38" s="17" t="s">
        <v>250</v>
      </c>
      <c r="K38" s="15" t="s">
        <v>320</v>
      </c>
      <c r="L38" s="16" t="s">
        <v>321</v>
      </c>
      <c r="M38" s="16">
        <v>17.558399999999999</v>
      </c>
      <c r="N38" s="16">
        <v>438.96</v>
      </c>
    </row>
    <row r="39" spans="1:14" x14ac:dyDescent="0.3">
      <c r="A39" s="2" t="s">
        <v>14</v>
      </c>
      <c r="B39" s="2">
        <v>1</v>
      </c>
      <c r="C39" s="2" t="s">
        <v>189</v>
      </c>
      <c r="D39" s="5">
        <v>46087</v>
      </c>
      <c r="E39" s="9">
        <v>20100265479</v>
      </c>
      <c r="F39" s="10" t="s">
        <v>209</v>
      </c>
      <c r="G39" s="10"/>
      <c r="I39" s="13">
        <v>12</v>
      </c>
      <c r="J39" s="17" t="s">
        <v>250</v>
      </c>
      <c r="K39" s="15" t="s">
        <v>322</v>
      </c>
      <c r="L39" s="16" t="s">
        <v>323</v>
      </c>
      <c r="M39" s="16">
        <v>36.945799999999998</v>
      </c>
      <c r="N39" s="16">
        <v>443.34960000000001</v>
      </c>
    </row>
    <row r="40" spans="1:14" x14ac:dyDescent="0.3">
      <c r="A40" s="2" t="s">
        <v>14</v>
      </c>
      <c r="B40" s="2">
        <v>1</v>
      </c>
      <c r="C40" s="2" t="s">
        <v>189</v>
      </c>
      <c r="D40" s="5">
        <v>46087</v>
      </c>
      <c r="E40" s="9">
        <v>20100265479</v>
      </c>
      <c r="F40" s="10" t="s">
        <v>209</v>
      </c>
      <c r="G40" s="10"/>
      <c r="I40" s="13">
        <v>6</v>
      </c>
      <c r="J40" s="17" t="s">
        <v>250</v>
      </c>
      <c r="K40" s="15" t="s">
        <v>324</v>
      </c>
      <c r="L40" s="16" t="s">
        <v>325</v>
      </c>
      <c r="M40" s="16">
        <v>17.759</v>
      </c>
      <c r="N40" s="16">
        <v>106.554</v>
      </c>
    </row>
    <row r="41" spans="1:14" x14ac:dyDescent="0.3">
      <c r="A41" s="2" t="s">
        <v>14</v>
      </c>
      <c r="B41" s="2">
        <v>1</v>
      </c>
      <c r="C41" s="2" t="s">
        <v>189</v>
      </c>
      <c r="D41" s="5">
        <v>46087</v>
      </c>
      <c r="E41" s="9">
        <v>20100265479</v>
      </c>
      <c r="F41" s="10" t="s">
        <v>209</v>
      </c>
      <c r="G41" s="10"/>
      <c r="I41" s="13">
        <v>2</v>
      </c>
      <c r="J41" s="17" t="s">
        <v>250</v>
      </c>
      <c r="K41" s="15" t="s">
        <v>320</v>
      </c>
      <c r="L41" s="16" t="s">
        <v>321</v>
      </c>
      <c r="M41" s="16">
        <v>0</v>
      </c>
      <c r="N41" s="16">
        <v>0</v>
      </c>
    </row>
    <row r="42" spans="1:14" x14ac:dyDescent="0.3">
      <c r="A42" s="2" t="s">
        <v>15</v>
      </c>
      <c r="B42" s="2">
        <v>1</v>
      </c>
      <c r="C42" s="2" t="s">
        <v>189</v>
      </c>
      <c r="D42" s="5">
        <v>46087</v>
      </c>
      <c r="E42" s="9">
        <v>20100265479</v>
      </c>
      <c r="F42" s="10" t="s">
        <v>209</v>
      </c>
      <c r="G42" s="10"/>
      <c r="I42" s="13">
        <v>100</v>
      </c>
      <c r="J42" s="17" t="s">
        <v>250</v>
      </c>
      <c r="K42" s="15" t="s">
        <v>326</v>
      </c>
      <c r="L42" s="16" t="s">
        <v>327</v>
      </c>
      <c r="M42" s="16">
        <v>45.264799999999994</v>
      </c>
      <c r="N42" s="16">
        <v>4526.4799999999996</v>
      </c>
    </row>
    <row r="43" spans="1:14" x14ac:dyDescent="0.3">
      <c r="A43" s="2" t="s">
        <v>15</v>
      </c>
      <c r="B43" s="2">
        <v>1</v>
      </c>
      <c r="C43" s="2" t="s">
        <v>189</v>
      </c>
      <c r="D43" s="5">
        <v>46087</v>
      </c>
      <c r="E43" s="9">
        <v>20100265479</v>
      </c>
      <c r="F43" s="10" t="s">
        <v>209</v>
      </c>
      <c r="G43" s="10"/>
      <c r="I43" s="13">
        <v>20</v>
      </c>
      <c r="J43" s="17" t="s">
        <v>250</v>
      </c>
      <c r="K43" s="15" t="s">
        <v>326</v>
      </c>
      <c r="L43" s="16" t="s">
        <v>327</v>
      </c>
      <c r="M43" s="16">
        <v>0</v>
      </c>
      <c r="N43" s="16">
        <v>0</v>
      </c>
    </row>
    <row r="44" spans="1:14" x14ac:dyDescent="0.3">
      <c r="A44" s="2" t="s">
        <v>16</v>
      </c>
      <c r="B44" s="2">
        <v>1</v>
      </c>
      <c r="C44" s="2" t="s">
        <v>189</v>
      </c>
      <c r="D44" s="5">
        <v>46087</v>
      </c>
      <c r="E44" s="9">
        <v>20100029741</v>
      </c>
      <c r="F44" s="10" t="s">
        <v>210</v>
      </c>
      <c r="G44" s="10"/>
      <c r="I44" s="13">
        <v>3000</v>
      </c>
      <c r="J44" s="17" t="s">
        <v>250</v>
      </c>
      <c r="K44" s="15" t="s">
        <v>328</v>
      </c>
      <c r="L44" s="16" t="s">
        <v>329</v>
      </c>
      <c r="M44" s="16">
        <v>0.83499985999999993</v>
      </c>
      <c r="N44" s="16">
        <v>2504.9995799999997</v>
      </c>
    </row>
    <row r="45" spans="1:14" x14ac:dyDescent="0.3">
      <c r="A45" s="2" t="s">
        <v>17</v>
      </c>
      <c r="B45" s="2">
        <v>1</v>
      </c>
      <c r="C45" s="2" t="s">
        <v>191</v>
      </c>
      <c r="D45" s="5">
        <v>46087</v>
      </c>
      <c r="E45" s="9">
        <v>20100029741</v>
      </c>
      <c r="F45" s="10" t="s">
        <v>210</v>
      </c>
      <c r="G45" s="10"/>
      <c r="I45" s="13">
        <v>30</v>
      </c>
      <c r="J45" s="17" t="s">
        <v>250</v>
      </c>
      <c r="K45" s="15" t="s">
        <v>330</v>
      </c>
      <c r="L45" s="16" t="s">
        <v>331</v>
      </c>
      <c r="M45" s="16">
        <v>7.4999997599999997</v>
      </c>
      <c r="N45" s="16">
        <v>224.9999928</v>
      </c>
    </row>
    <row r="46" spans="1:14" x14ac:dyDescent="0.3">
      <c r="A46" s="2" t="s">
        <v>17</v>
      </c>
      <c r="B46" s="2">
        <v>1</v>
      </c>
      <c r="C46" s="2" t="s">
        <v>191</v>
      </c>
      <c r="D46" s="5">
        <v>46087</v>
      </c>
      <c r="E46" s="9">
        <v>20100029741</v>
      </c>
      <c r="F46" s="10" t="s">
        <v>210</v>
      </c>
      <c r="G46" s="10"/>
      <c r="I46" s="13">
        <v>20</v>
      </c>
      <c r="J46" s="17" t="s">
        <v>250</v>
      </c>
      <c r="K46" s="15" t="s">
        <v>332</v>
      </c>
      <c r="L46" s="16" t="s">
        <v>333</v>
      </c>
      <c r="M46" s="16">
        <v>3.6499996000000001</v>
      </c>
      <c r="N46" s="16">
        <v>72.999992000000006</v>
      </c>
    </row>
    <row r="47" spans="1:14" x14ac:dyDescent="0.3">
      <c r="A47" s="2" t="s">
        <v>18</v>
      </c>
      <c r="B47" s="2">
        <v>1</v>
      </c>
      <c r="C47" s="2" t="s">
        <v>191</v>
      </c>
      <c r="D47" s="5">
        <v>46090</v>
      </c>
      <c r="E47" s="9">
        <v>20100029741</v>
      </c>
      <c r="F47" s="10" t="s">
        <v>210</v>
      </c>
      <c r="G47" s="10"/>
      <c r="I47" s="13">
        <v>416</v>
      </c>
      <c r="J47" s="17" t="s">
        <v>250</v>
      </c>
      <c r="K47" s="15" t="s">
        <v>334</v>
      </c>
      <c r="L47" s="16" t="s">
        <v>335</v>
      </c>
      <c r="M47" s="16">
        <v>5.2644225000000002</v>
      </c>
      <c r="N47" s="16">
        <v>2189.9997600000002</v>
      </c>
    </row>
    <row r="48" spans="1:14" x14ac:dyDescent="0.3">
      <c r="A48" s="2" t="s">
        <v>18</v>
      </c>
      <c r="B48" s="2">
        <v>1</v>
      </c>
      <c r="C48" s="2" t="s">
        <v>191</v>
      </c>
      <c r="D48" s="5">
        <v>46090</v>
      </c>
      <c r="E48" s="9">
        <v>20100029741</v>
      </c>
      <c r="F48" s="10" t="s">
        <v>210</v>
      </c>
      <c r="G48" s="10"/>
      <c r="I48" s="13">
        <v>53</v>
      </c>
      <c r="J48" s="17" t="s">
        <v>250</v>
      </c>
      <c r="K48" s="15" t="s">
        <v>336</v>
      </c>
      <c r="L48" s="16" t="s">
        <v>337</v>
      </c>
      <c r="M48" s="16">
        <v>14.599999579999999</v>
      </c>
      <c r="N48" s="16">
        <v>773.79997773999992</v>
      </c>
    </row>
    <row r="49" spans="1:15" x14ac:dyDescent="0.3">
      <c r="A49" s="2" t="s">
        <v>18</v>
      </c>
      <c r="B49" s="2">
        <v>1</v>
      </c>
      <c r="C49" s="2" t="s">
        <v>191</v>
      </c>
      <c r="D49" s="5">
        <v>46090</v>
      </c>
      <c r="E49" s="9">
        <v>20100029741</v>
      </c>
      <c r="F49" s="10" t="s">
        <v>210</v>
      </c>
      <c r="G49" s="10"/>
      <c r="I49" s="13">
        <v>145</v>
      </c>
      <c r="J49" s="17" t="s">
        <v>250</v>
      </c>
      <c r="K49" s="15" t="s">
        <v>338</v>
      </c>
      <c r="L49" s="16" t="s">
        <v>339</v>
      </c>
      <c r="M49" s="16">
        <v>3.7758619399999995</v>
      </c>
      <c r="N49" s="16">
        <v>547.49998129999994</v>
      </c>
    </row>
    <row r="50" spans="1:15" x14ac:dyDescent="0.3">
      <c r="A50" s="2" t="s">
        <v>19</v>
      </c>
      <c r="B50" s="2" t="s">
        <v>190</v>
      </c>
      <c r="C50" s="2" t="s">
        <v>189</v>
      </c>
      <c r="D50" s="5">
        <v>46091</v>
      </c>
      <c r="E50" s="9">
        <v>20100029741</v>
      </c>
      <c r="F50" s="10" t="s">
        <v>210</v>
      </c>
      <c r="G50" s="10"/>
      <c r="I50" s="13">
        <v>1</v>
      </c>
      <c r="J50" s="17" t="s">
        <v>250</v>
      </c>
      <c r="K50" s="15" t="s">
        <v>340</v>
      </c>
      <c r="L50" s="16" t="s">
        <v>341</v>
      </c>
      <c r="M50" s="16">
        <v>374.65</v>
      </c>
      <c r="N50" s="16">
        <v>374.65</v>
      </c>
      <c r="O50" s="22" t="s">
        <v>342</v>
      </c>
    </row>
    <row r="51" spans="1:15" x14ac:dyDescent="0.3">
      <c r="A51" s="2" t="s">
        <v>20</v>
      </c>
      <c r="B51" s="2" t="s">
        <v>190</v>
      </c>
      <c r="C51" s="2" t="s">
        <v>189</v>
      </c>
      <c r="D51" s="5">
        <v>46091</v>
      </c>
      <c r="E51" s="9">
        <v>20100029741</v>
      </c>
      <c r="F51" s="10" t="s">
        <v>210</v>
      </c>
      <c r="G51" s="10"/>
      <c r="I51" s="13">
        <v>1</v>
      </c>
      <c r="J51" s="17" t="s">
        <v>250</v>
      </c>
      <c r="K51" s="15" t="s">
        <v>340</v>
      </c>
      <c r="L51" s="16" t="s">
        <v>341</v>
      </c>
      <c r="M51" s="16">
        <v>134.86999979999999</v>
      </c>
      <c r="N51" s="16">
        <v>134.86999979999999</v>
      </c>
      <c r="O51" s="22" t="s">
        <v>343</v>
      </c>
    </row>
    <row r="52" spans="1:15" x14ac:dyDescent="0.3">
      <c r="A52" s="2" t="s">
        <v>21</v>
      </c>
      <c r="B52" s="2" t="s">
        <v>190</v>
      </c>
      <c r="C52" s="2" t="s">
        <v>189</v>
      </c>
      <c r="D52" s="5">
        <v>46091</v>
      </c>
      <c r="E52" s="9">
        <v>20100029741</v>
      </c>
      <c r="F52" s="10" t="s">
        <v>210</v>
      </c>
      <c r="G52" s="10"/>
      <c r="I52" s="13">
        <v>1</v>
      </c>
      <c r="J52" s="17" t="s">
        <v>250</v>
      </c>
      <c r="K52" s="15" t="s">
        <v>340</v>
      </c>
      <c r="L52" s="16" t="s">
        <v>341</v>
      </c>
      <c r="M52" s="16">
        <v>74.929999999999993</v>
      </c>
      <c r="N52" s="16">
        <v>74.929999999999993</v>
      </c>
      <c r="O52" s="22" t="s">
        <v>344</v>
      </c>
    </row>
    <row r="53" spans="1:15" x14ac:dyDescent="0.3">
      <c r="A53" s="2" t="s">
        <v>22</v>
      </c>
      <c r="B53" s="2">
        <v>1</v>
      </c>
      <c r="C53" s="2" t="s">
        <v>189</v>
      </c>
      <c r="D53" s="5">
        <v>46092</v>
      </c>
      <c r="E53" s="9">
        <v>20600732375</v>
      </c>
      <c r="F53" s="10" t="s">
        <v>211</v>
      </c>
      <c r="G53" s="10"/>
      <c r="I53" s="13">
        <f>+[1]!PRODUCTOS[[#This Row],[CANT.]]</f>
        <v>145</v>
      </c>
      <c r="J53" s="19" t="s">
        <v>250</v>
      </c>
      <c r="K53" s="19" t="s">
        <v>345</v>
      </c>
      <c r="L53" s="20" t="s">
        <v>346</v>
      </c>
      <c r="M53" s="16">
        <f>+[1]!PRODUCTOS[[#This Row],[PRECIO]]*18%+[1]!PRODUCTOS[[#This Row],[PRECIO]]</f>
        <v>3.7758619399999995</v>
      </c>
      <c r="N53" s="16">
        <f>+[1]!PRODUCTOS[[#This Row],[PRECIOCIGV]]*[1]!PRODUCTOS[[#This Row],[CANTIDAD]]</f>
        <v>547.49998129999994</v>
      </c>
    </row>
    <row r="54" spans="1:15" x14ac:dyDescent="0.3">
      <c r="A54" s="2" t="s">
        <v>23</v>
      </c>
      <c r="B54" s="2">
        <v>1</v>
      </c>
      <c r="C54" s="2" t="s">
        <v>189</v>
      </c>
      <c r="D54" s="5">
        <v>46094</v>
      </c>
      <c r="E54" s="9">
        <v>10100117741</v>
      </c>
      <c r="F54" s="10" t="s">
        <v>212</v>
      </c>
      <c r="G54" s="10"/>
      <c r="I54" s="13">
        <v>25</v>
      </c>
      <c r="J54" s="17" t="s">
        <v>250</v>
      </c>
      <c r="K54" s="19" t="s">
        <v>347</v>
      </c>
      <c r="L54" s="20" t="s">
        <v>348</v>
      </c>
      <c r="M54" s="16">
        <v>5.5000000009999992</v>
      </c>
      <c r="N54" s="16">
        <v>137.50000002499999</v>
      </c>
    </row>
    <row r="55" spans="1:15" x14ac:dyDescent="0.3">
      <c r="A55" s="2" t="s">
        <v>23</v>
      </c>
      <c r="B55" s="2">
        <v>1</v>
      </c>
      <c r="C55" s="2" t="s">
        <v>189</v>
      </c>
      <c r="D55" s="5">
        <v>46094</v>
      </c>
      <c r="E55" s="9">
        <v>10100117741</v>
      </c>
      <c r="F55" s="10" t="s">
        <v>212</v>
      </c>
      <c r="G55" s="10"/>
      <c r="I55" s="13">
        <v>10</v>
      </c>
      <c r="J55" s="17" t="s">
        <v>250</v>
      </c>
      <c r="K55" s="19" t="s">
        <v>349</v>
      </c>
      <c r="L55" s="20" t="s">
        <v>350</v>
      </c>
      <c r="M55" s="16">
        <v>16.000000007199997</v>
      </c>
      <c r="N55" s="16">
        <v>160.00000007199998</v>
      </c>
    </row>
    <row r="56" spans="1:15" x14ac:dyDescent="0.3">
      <c r="A56" s="2" t="s">
        <v>24</v>
      </c>
      <c r="B56" s="2">
        <v>1</v>
      </c>
      <c r="C56" s="2" t="s">
        <v>189</v>
      </c>
      <c r="D56" s="5">
        <v>46094</v>
      </c>
      <c r="E56" s="9">
        <v>10075171868</v>
      </c>
      <c r="F56" s="10" t="s">
        <v>208</v>
      </c>
      <c r="G56" s="10"/>
      <c r="I56" s="13">
        <v>6</v>
      </c>
      <c r="J56" s="17" t="s">
        <v>250</v>
      </c>
      <c r="K56" s="15" t="s">
        <v>318</v>
      </c>
      <c r="L56" s="16" t="s">
        <v>319</v>
      </c>
      <c r="M56" s="16">
        <v>77.599999994799987</v>
      </c>
      <c r="N56" s="16">
        <v>465.59999996879992</v>
      </c>
    </row>
    <row r="57" spans="1:15" x14ac:dyDescent="0.3">
      <c r="A57" s="2" t="s">
        <v>25</v>
      </c>
      <c r="B57" s="2">
        <v>1</v>
      </c>
      <c r="C57" s="2" t="s">
        <v>189</v>
      </c>
      <c r="D57" s="5">
        <v>46095</v>
      </c>
      <c r="E57" s="9">
        <v>20100029741</v>
      </c>
      <c r="F57" s="10" t="s">
        <v>210</v>
      </c>
      <c r="G57" s="10"/>
      <c r="I57" s="13">
        <v>400</v>
      </c>
      <c r="J57" s="17" t="s">
        <v>250</v>
      </c>
      <c r="K57" s="15" t="s">
        <v>260</v>
      </c>
      <c r="L57" s="16" t="s">
        <v>261</v>
      </c>
      <c r="M57" s="16">
        <v>28.999999779999996</v>
      </c>
      <c r="N57" s="16">
        <v>11599.999911999999</v>
      </c>
      <c r="O57" s="22" t="s">
        <v>342</v>
      </c>
    </row>
    <row r="58" spans="1:15" x14ac:dyDescent="0.3">
      <c r="A58" s="2" t="s">
        <v>26</v>
      </c>
      <c r="B58" s="2">
        <v>1</v>
      </c>
      <c r="C58" s="2" t="s">
        <v>189</v>
      </c>
      <c r="D58" s="5">
        <v>46095</v>
      </c>
      <c r="E58" s="9">
        <v>20100029741</v>
      </c>
      <c r="F58" s="10" t="s">
        <v>210</v>
      </c>
      <c r="G58" s="10"/>
      <c r="I58" s="13">
        <f>+[1]!PRODUCTOS[[#This Row],[CANT.]]</f>
        <v>25</v>
      </c>
      <c r="J58" s="19" t="s">
        <v>250</v>
      </c>
      <c r="K58" s="19" t="s">
        <v>257</v>
      </c>
      <c r="L58" s="20" t="s">
        <v>258</v>
      </c>
      <c r="M58" s="16">
        <f>+[1]!PRODUCTOS[[#This Row],[PRECIO]]*18%+[1]!PRODUCTOS[[#This Row],[PRECIO]]</f>
        <v>5.5000000009999992</v>
      </c>
      <c r="N58" s="16">
        <f>+[1]!PRODUCTOS[[#This Row],[PRECIOCIGV]]*[1]!PRODUCTOS[[#This Row],[CANTIDAD]]</f>
        <v>137.50000002499999</v>
      </c>
      <c r="O58" s="22" t="s">
        <v>343</v>
      </c>
    </row>
    <row r="59" spans="1:15" x14ac:dyDescent="0.3">
      <c r="A59" s="2" t="s">
        <v>27</v>
      </c>
      <c r="B59" s="2">
        <v>1</v>
      </c>
      <c r="C59" s="2" t="s">
        <v>189</v>
      </c>
      <c r="D59" s="5">
        <v>46095</v>
      </c>
      <c r="E59" s="9">
        <v>20613553488</v>
      </c>
      <c r="F59" s="10" t="s">
        <v>197</v>
      </c>
      <c r="G59" s="10"/>
      <c r="I59" s="13">
        <f>+[1]!PRODUCTOS[[#This Row],[CANT.]]*1000</f>
        <v>10000</v>
      </c>
      <c r="J59" s="17" t="s">
        <v>250</v>
      </c>
      <c r="K59" s="19" t="s">
        <v>351</v>
      </c>
      <c r="L59" s="20" t="s">
        <v>352</v>
      </c>
      <c r="M59" s="16">
        <f>+[1]!PRODUCTOS[[#This Row],[PRECIO]]*18%+[1]!PRODUCTOS[[#This Row],[PRECIO]]</f>
        <v>16.000000007200001</v>
      </c>
      <c r="N59" s="16">
        <f>+[1]!PRODUCTOS[[#This Row],[PRECIOCIGV]]*[1]!PRODUCTOS[[#This Row],[CANTIDAD]]</f>
        <v>160.00000007199998</v>
      </c>
    </row>
    <row r="60" spans="1:15" x14ac:dyDescent="0.3">
      <c r="A60" s="2" t="s">
        <v>28</v>
      </c>
      <c r="B60" s="2" t="s">
        <v>190</v>
      </c>
      <c r="C60" s="2" t="s">
        <v>189</v>
      </c>
      <c r="D60" s="5">
        <v>46095</v>
      </c>
      <c r="E60" s="9">
        <v>20100029741</v>
      </c>
      <c r="F60" s="10" t="s">
        <v>210</v>
      </c>
      <c r="G60" s="10"/>
      <c r="I60" s="13">
        <v>1</v>
      </c>
      <c r="J60" s="19" t="s">
        <v>250</v>
      </c>
      <c r="K60" s="19">
        <v>60914</v>
      </c>
      <c r="L60" s="20" t="s">
        <v>341</v>
      </c>
      <c r="M60" s="16">
        <f>+[1]!PRODUCTOS[[#This Row],[PRECIO]]*18%+[1]!PRODUCTOS[[#This Row],[PRECIO]]</f>
        <v>77.599999994800001</v>
      </c>
      <c r="N60" s="16">
        <f>+[1]!PRODUCTOS[[#This Row],[PRECIOCIGV]]*[1]!PRODUCTOS[[#This Row],[CANTIDAD]]</f>
        <v>465.59999996879992</v>
      </c>
      <c r="O60" s="22" t="s">
        <v>343</v>
      </c>
    </row>
    <row r="61" spans="1:15" x14ac:dyDescent="0.3">
      <c r="A61" s="2" t="s">
        <v>29</v>
      </c>
      <c r="B61" s="2">
        <v>1</v>
      </c>
      <c r="C61" s="2" t="s">
        <v>189</v>
      </c>
      <c r="D61" s="5">
        <v>46098</v>
      </c>
      <c r="E61" s="9">
        <v>10428029998</v>
      </c>
      <c r="F61" s="10" t="s">
        <v>204</v>
      </c>
      <c r="G61" s="10"/>
      <c r="I61" s="13">
        <v>10</v>
      </c>
      <c r="J61" s="17" t="s">
        <v>250</v>
      </c>
      <c r="K61" s="15" t="s">
        <v>353</v>
      </c>
      <c r="L61" s="16" t="s">
        <v>354</v>
      </c>
      <c r="M61" s="16">
        <v>3.9999999999120002</v>
      </c>
      <c r="N61" s="16">
        <v>39.99999999912</v>
      </c>
    </row>
    <row r="62" spans="1:15" x14ac:dyDescent="0.3">
      <c r="A62" s="2" t="s">
        <v>29</v>
      </c>
      <c r="B62" s="2">
        <v>1</v>
      </c>
      <c r="C62" s="2" t="s">
        <v>189</v>
      </c>
      <c r="D62" s="5">
        <v>46098</v>
      </c>
      <c r="E62" s="9">
        <v>10428029998</v>
      </c>
      <c r="F62" s="10" t="s">
        <v>204</v>
      </c>
      <c r="G62" s="10"/>
      <c r="I62" s="13">
        <f>+[1]!PRODUCTOS[[#This Row],[CANT.]]</f>
        <v>250</v>
      </c>
      <c r="J62" s="17" t="s">
        <v>250</v>
      </c>
      <c r="K62" s="19" t="s">
        <v>355</v>
      </c>
      <c r="L62" s="20" t="s">
        <v>356</v>
      </c>
      <c r="M62" s="16">
        <f>+[1]!PRODUCTOS[[#This Row],[PRECIO]]*18%+[1]!PRODUCTOS[[#This Row],[PRECIO]]</f>
        <v>26.300000480000001</v>
      </c>
      <c r="N62" s="16">
        <f>+[1]!PRODUCTOS[[#This Row],[PRECIOCIGV]]*[1]!PRODUCTOS[[#This Row],[CANTIDAD]]</f>
        <v>6575.0001200000006</v>
      </c>
    </row>
    <row r="63" spans="1:15" x14ac:dyDescent="0.3">
      <c r="A63" s="2" t="s">
        <v>29</v>
      </c>
      <c r="B63" s="2">
        <v>1</v>
      </c>
      <c r="C63" s="2" t="s">
        <v>189</v>
      </c>
      <c r="D63" s="5">
        <v>46098</v>
      </c>
      <c r="E63" s="9">
        <v>10428029998</v>
      </c>
      <c r="F63" s="10" t="s">
        <v>204</v>
      </c>
      <c r="G63" s="10"/>
      <c r="I63" s="13">
        <v>1</v>
      </c>
      <c r="J63" s="17" t="s">
        <v>250</v>
      </c>
      <c r="K63" s="19" t="s">
        <v>357</v>
      </c>
      <c r="L63" s="20" t="s">
        <v>358</v>
      </c>
      <c r="M63" s="16">
        <v>4.99999999989</v>
      </c>
      <c r="N63" s="16">
        <v>4.99999999989</v>
      </c>
    </row>
    <row r="64" spans="1:15" x14ac:dyDescent="0.3">
      <c r="A64" s="2" t="s">
        <v>29</v>
      </c>
      <c r="B64" s="2">
        <v>1</v>
      </c>
      <c r="C64" s="2" t="s">
        <v>189</v>
      </c>
      <c r="D64" s="5">
        <v>46098</v>
      </c>
      <c r="E64" s="9">
        <v>10428029998</v>
      </c>
      <c r="F64" s="10" t="s">
        <v>204</v>
      </c>
      <c r="G64" s="10"/>
      <c r="I64" s="13">
        <v>1</v>
      </c>
      <c r="J64" s="17" t="s">
        <v>250</v>
      </c>
      <c r="K64" s="19" t="s">
        <v>359</v>
      </c>
      <c r="L64" s="20" t="s">
        <v>360</v>
      </c>
      <c r="M64" s="16">
        <v>6.4999999999159996</v>
      </c>
      <c r="N64" s="16">
        <v>6.4999999999159996</v>
      </c>
    </row>
    <row r="65" spans="1:14" x14ac:dyDescent="0.3">
      <c r="A65" s="2" t="s">
        <v>29</v>
      </c>
      <c r="B65" s="2">
        <v>1</v>
      </c>
      <c r="C65" s="2" t="s">
        <v>189</v>
      </c>
      <c r="D65" s="5">
        <v>46098</v>
      </c>
      <c r="E65" s="9">
        <v>10428029998</v>
      </c>
      <c r="F65" s="10" t="s">
        <v>204</v>
      </c>
      <c r="G65" s="10"/>
      <c r="I65" s="13">
        <v>1</v>
      </c>
      <c r="J65" s="17" t="s">
        <v>250</v>
      </c>
      <c r="K65" s="19" t="s">
        <v>361</v>
      </c>
      <c r="L65" s="20" t="s">
        <v>362</v>
      </c>
      <c r="M65" s="16">
        <v>7.9999999999419993</v>
      </c>
      <c r="N65" s="16">
        <v>7.9999999999419993</v>
      </c>
    </row>
    <row r="66" spans="1:14" x14ac:dyDescent="0.3">
      <c r="A66" s="2" t="s">
        <v>29</v>
      </c>
      <c r="B66" s="2">
        <v>1</v>
      </c>
      <c r="C66" s="2" t="s">
        <v>189</v>
      </c>
      <c r="D66" s="5">
        <v>46098</v>
      </c>
      <c r="E66" s="9">
        <v>10428029998</v>
      </c>
      <c r="F66" s="10" t="s">
        <v>204</v>
      </c>
      <c r="G66" s="10"/>
      <c r="I66" s="13">
        <v>1</v>
      </c>
      <c r="J66" s="17" t="s">
        <v>250</v>
      </c>
      <c r="K66" s="19" t="s">
        <v>363</v>
      </c>
      <c r="L66" s="20" t="s">
        <v>364</v>
      </c>
      <c r="M66" s="16">
        <v>11.499999999923999</v>
      </c>
      <c r="N66" s="16">
        <v>11.499999999923999</v>
      </c>
    </row>
    <row r="67" spans="1:14" x14ac:dyDescent="0.3">
      <c r="A67" s="2" t="s">
        <v>29</v>
      </c>
      <c r="B67" s="2">
        <v>1</v>
      </c>
      <c r="C67" s="2" t="s">
        <v>189</v>
      </c>
      <c r="D67" s="5">
        <v>46098</v>
      </c>
      <c r="E67" s="9">
        <v>10428029998</v>
      </c>
      <c r="F67" s="10" t="s">
        <v>204</v>
      </c>
      <c r="G67" s="10"/>
      <c r="I67" s="13">
        <v>1</v>
      </c>
      <c r="J67" s="17" t="s">
        <v>250</v>
      </c>
      <c r="K67" s="19" t="s">
        <v>365</v>
      </c>
      <c r="L67" s="20" t="s">
        <v>366</v>
      </c>
      <c r="M67" s="16">
        <v>16.500000000049997</v>
      </c>
      <c r="N67" s="16">
        <v>16.500000000049997</v>
      </c>
    </row>
    <row r="68" spans="1:14" x14ac:dyDescent="0.3">
      <c r="A68" s="2" t="s">
        <v>29</v>
      </c>
      <c r="B68" s="2">
        <v>1</v>
      </c>
      <c r="C68" s="2" t="s">
        <v>189</v>
      </c>
      <c r="D68" s="5">
        <v>46098</v>
      </c>
      <c r="E68" s="9">
        <v>10428029998</v>
      </c>
      <c r="F68" s="10" t="s">
        <v>204</v>
      </c>
      <c r="G68" s="10"/>
      <c r="I68" s="13">
        <v>1</v>
      </c>
      <c r="J68" s="17" t="s">
        <v>250</v>
      </c>
      <c r="K68" s="19" t="s">
        <v>367</v>
      </c>
      <c r="L68" s="20" t="s">
        <v>368</v>
      </c>
      <c r="M68" s="16">
        <v>21.500000000057998</v>
      </c>
      <c r="N68" s="16">
        <v>21.500000000057998</v>
      </c>
    </row>
    <row r="69" spans="1:14" x14ac:dyDescent="0.3">
      <c r="A69" s="2" t="s">
        <v>30</v>
      </c>
      <c r="B69" s="2">
        <v>1</v>
      </c>
      <c r="C69" s="2" t="s">
        <v>189</v>
      </c>
      <c r="D69" s="5">
        <v>46098</v>
      </c>
      <c r="E69" s="9">
        <v>20100265479</v>
      </c>
      <c r="F69" s="10" t="s">
        <v>209</v>
      </c>
      <c r="G69" s="10"/>
      <c r="I69" s="13">
        <v>48</v>
      </c>
      <c r="J69" s="17" t="s">
        <v>250</v>
      </c>
      <c r="K69" s="19" t="s">
        <v>369</v>
      </c>
      <c r="L69" s="20" t="s">
        <v>370</v>
      </c>
      <c r="M69" s="16">
        <v>3.835</v>
      </c>
      <c r="N69" s="16">
        <v>184.07999999999998</v>
      </c>
    </row>
    <row r="70" spans="1:14" x14ac:dyDescent="0.3">
      <c r="A70" s="2" t="s">
        <v>30</v>
      </c>
      <c r="B70" s="2">
        <v>1</v>
      </c>
      <c r="C70" s="2" t="s">
        <v>189</v>
      </c>
      <c r="D70" s="5">
        <v>46098</v>
      </c>
      <c r="E70" s="9">
        <v>20100265479</v>
      </c>
      <c r="F70" s="10" t="s">
        <v>209</v>
      </c>
      <c r="G70" s="10"/>
      <c r="I70" s="13">
        <v>12</v>
      </c>
      <c r="J70" s="17" t="s">
        <v>250</v>
      </c>
      <c r="K70" s="19" t="s">
        <v>371</v>
      </c>
      <c r="L70" s="20" t="s">
        <v>372</v>
      </c>
      <c r="M70" s="16">
        <f>+[1]!PRODUCTOS[[#This Row],[PRECIO]]*18%+[1]!PRODUCTOS[[#This Row],[PRECIO]]</f>
        <v>11.499999999923999</v>
      </c>
      <c r="N70" s="16">
        <f>+[1]!PRODUCTOS[[#This Row],[PRECIOCIGV]]*[1]!PRODUCTOS[[#This Row],[CANTIDAD]]</f>
        <v>11.499999999923999</v>
      </c>
    </row>
    <row r="71" spans="1:14" x14ac:dyDescent="0.3">
      <c r="A71" s="2" t="s">
        <v>30</v>
      </c>
      <c r="B71" s="2">
        <v>1</v>
      </c>
      <c r="C71" s="2" t="s">
        <v>189</v>
      </c>
      <c r="D71" s="5">
        <v>46098</v>
      </c>
      <c r="E71" s="9">
        <v>20100265479</v>
      </c>
      <c r="F71" s="10" t="s">
        <v>209</v>
      </c>
      <c r="G71" s="10"/>
      <c r="I71" s="13">
        <v>12</v>
      </c>
      <c r="J71" s="17" t="s">
        <v>250</v>
      </c>
      <c r="K71" s="19" t="s">
        <v>373</v>
      </c>
      <c r="L71" s="20" t="s">
        <v>374</v>
      </c>
      <c r="M71" s="16">
        <v>5.3807999999999989</v>
      </c>
      <c r="N71" s="16">
        <v>64.56959999999998</v>
      </c>
    </row>
    <row r="72" spans="1:14" x14ac:dyDescent="0.3">
      <c r="A72" s="2" t="s">
        <v>30</v>
      </c>
      <c r="B72" s="2">
        <v>1</v>
      </c>
      <c r="C72" s="2" t="s">
        <v>189</v>
      </c>
      <c r="D72" s="5">
        <v>46098</v>
      </c>
      <c r="E72" s="9">
        <v>20100265479</v>
      </c>
      <c r="F72" s="10" t="s">
        <v>209</v>
      </c>
      <c r="G72" s="10"/>
      <c r="I72" s="13">
        <v>12</v>
      </c>
      <c r="J72" s="17" t="s">
        <v>250</v>
      </c>
      <c r="K72" s="19" t="s">
        <v>375</v>
      </c>
      <c r="L72" s="20" t="s">
        <v>376</v>
      </c>
      <c r="M72" s="16">
        <v>5.3807999999999989</v>
      </c>
      <c r="N72" s="16">
        <v>64.56959999999998</v>
      </c>
    </row>
    <row r="73" spans="1:14" x14ac:dyDescent="0.3">
      <c r="A73" s="2" t="s">
        <v>30</v>
      </c>
      <c r="B73" s="2">
        <v>1</v>
      </c>
      <c r="C73" s="2" t="s">
        <v>189</v>
      </c>
      <c r="D73" s="5">
        <v>46098</v>
      </c>
      <c r="E73" s="9">
        <v>20100265479</v>
      </c>
      <c r="F73" s="10" t="s">
        <v>209</v>
      </c>
      <c r="G73" s="10"/>
      <c r="I73" s="13">
        <v>12</v>
      </c>
      <c r="J73" s="17" t="s">
        <v>262</v>
      </c>
      <c r="K73" s="15" t="s">
        <v>377</v>
      </c>
      <c r="L73" s="16" t="s">
        <v>378</v>
      </c>
      <c r="M73" s="16">
        <f>+[1]!PRODUCTOS[[#This Row],[PRECIO]]*18%+[1]!PRODUCTOS[[#This Row],[PRECIO]]</f>
        <v>3.835</v>
      </c>
      <c r="N73" s="16">
        <f>+[1]!PRODUCTOS[[#This Row],[PRECIOCIGV]]*[1]!PRODUCTOS[[#This Row],[CANTIDAD]]</f>
        <v>184.07999999999998</v>
      </c>
    </row>
    <row r="74" spans="1:14" x14ac:dyDescent="0.3">
      <c r="A74" s="2" t="s">
        <v>30</v>
      </c>
      <c r="B74" s="2">
        <v>1</v>
      </c>
      <c r="C74" s="2" t="s">
        <v>189</v>
      </c>
      <c r="D74" s="5">
        <v>46098</v>
      </c>
      <c r="E74" s="9">
        <v>20100265479</v>
      </c>
      <c r="F74" s="10" t="s">
        <v>209</v>
      </c>
      <c r="G74" s="10"/>
      <c r="I74" s="13">
        <v>12</v>
      </c>
      <c r="J74" s="17" t="s">
        <v>250</v>
      </c>
      <c r="K74" s="19" t="s">
        <v>379</v>
      </c>
      <c r="L74" s="20" t="s">
        <v>380</v>
      </c>
      <c r="M74" s="16">
        <v>5.3807999999999989</v>
      </c>
      <c r="N74" s="16">
        <v>64.56959999999998</v>
      </c>
    </row>
    <row r="75" spans="1:14" x14ac:dyDescent="0.3">
      <c r="A75" s="2" t="s">
        <v>30</v>
      </c>
      <c r="B75" s="2">
        <v>1</v>
      </c>
      <c r="C75" s="2" t="s">
        <v>189</v>
      </c>
      <c r="D75" s="5">
        <v>46098</v>
      </c>
      <c r="E75" s="9">
        <v>20100265479</v>
      </c>
      <c r="F75" s="10" t="s">
        <v>209</v>
      </c>
      <c r="G75" s="10"/>
      <c r="I75" s="13">
        <v>12</v>
      </c>
      <c r="J75" s="17" t="s">
        <v>250</v>
      </c>
      <c r="K75" s="19" t="s">
        <v>381</v>
      </c>
      <c r="L75" s="20" t="s">
        <v>382</v>
      </c>
      <c r="M75" s="16">
        <v>5.3807999999999989</v>
      </c>
      <c r="N75" s="16">
        <v>64.56959999999998</v>
      </c>
    </row>
    <row r="76" spans="1:14" x14ac:dyDescent="0.3">
      <c r="A76" s="2" t="s">
        <v>30</v>
      </c>
      <c r="B76" s="2">
        <v>1</v>
      </c>
      <c r="C76" s="2" t="s">
        <v>189</v>
      </c>
      <c r="D76" s="5">
        <v>46098</v>
      </c>
      <c r="E76" s="9">
        <v>20100265479</v>
      </c>
      <c r="F76" s="10" t="s">
        <v>209</v>
      </c>
      <c r="G76" s="10"/>
      <c r="I76" s="13">
        <v>12</v>
      </c>
      <c r="J76" s="17" t="s">
        <v>250</v>
      </c>
      <c r="K76" s="19" t="s">
        <v>383</v>
      </c>
      <c r="L76" s="20" t="s">
        <v>384</v>
      </c>
      <c r="M76" s="16">
        <v>5.3807999999999989</v>
      </c>
      <c r="N76" s="16">
        <v>64.56959999999998</v>
      </c>
    </row>
    <row r="77" spans="1:14" x14ac:dyDescent="0.3">
      <c r="A77" s="2" t="s">
        <v>30</v>
      </c>
      <c r="B77" s="2">
        <v>1</v>
      </c>
      <c r="C77" s="2" t="s">
        <v>189</v>
      </c>
      <c r="D77" s="5">
        <v>46098</v>
      </c>
      <c r="E77" s="9">
        <v>20100265479</v>
      </c>
      <c r="F77" s="10" t="s">
        <v>209</v>
      </c>
      <c r="G77" s="10"/>
      <c r="I77" s="13">
        <v>12</v>
      </c>
      <c r="J77" s="17" t="s">
        <v>250</v>
      </c>
      <c r="K77" s="19" t="s">
        <v>385</v>
      </c>
      <c r="L77" s="20" t="s">
        <v>386</v>
      </c>
      <c r="M77" s="16">
        <v>5.3807999999999989</v>
      </c>
      <c r="N77" s="16">
        <v>64.56959999999998</v>
      </c>
    </row>
    <row r="78" spans="1:14" x14ac:dyDescent="0.3">
      <c r="A78" s="2" t="s">
        <v>30</v>
      </c>
      <c r="B78" s="2">
        <v>1</v>
      </c>
      <c r="C78" s="2" t="s">
        <v>189</v>
      </c>
      <c r="D78" s="5">
        <v>46098</v>
      </c>
      <c r="E78" s="9">
        <v>20100265479</v>
      </c>
      <c r="F78" s="10" t="s">
        <v>209</v>
      </c>
      <c r="G78" s="10"/>
      <c r="I78" s="13">
        <v>12</v>
      </c>
      <c r="J78" s="17" t="s">
        <v>250</v>
      </c>
      <c r="K78" s="19" t="s">
        <v>387</v>
      </c>
      <c r="L78" s="20" t="s">
        <v>388</v>
      </c>
      <c r="M78" s="16">
        <v>5.3807999999999989</v>
      </c>
      <c r="N78" s="16">
        <v>64.56959999999998</v>
      </c>
    </row>
    <row r="79" spans="1:14" x14ac:dyDescent="0.3">
      <c r="A79" s="2" t="s">
        <v>30</v>
      </c>
      <c r="B79" s="2">
        <v>1</v>
      </c>
      <c r="C79" s="2" t="s">
        <v>189</v>
      </c>
      <c r="D79" s="5">
        <v>46098</v>
      </c>
      <c r="E79" s="9">
        <v>20100265479</v>
      </c>
      <c r="F79" s="10" t="s">
        <v>209</v>
      </c>
      <c r="G79" s="10"/>
      <c r="I79" s="13">
        <v>12</v>
      </c>
      <c r="J79" s="17" t="s">
        <v>250</v>
      </c>
      <c r="K79" s="19" t="s">
        <v>389</v>
      </c>
      <c r="L79" s="20" t="s">
        <v>390</v>
      </c>
      <c r="M79" s="16">
        <v>5.3807999999999989</v>
      </c>
      <c r="N79" s="16">
        <v>64.56959999999998</v>
      </c>
    </row>
    <row r="80" spans="1:14" x14ac:dyDescent="0.3">
      <c r="A80" s="2" t="s">
        <v>30</v>
      </c>
      <c r="B80" s="2">
        <v>1</v>
      </c>
      <c r="C80" s="2" t="s">
        <v>189</v>
      </c>
      <c r="D80" s="5">
        <v>46098</v>
      </c>
      <c r="E80" s="9">
        <v>20100265479</v>
      </c>
      <c r="F80" s="10" t="s">
        <v>209</v>
      </c>
      <c r="G80" s="10"/>
      <c r="I80" s="13">
        <v>12</v>
      </c>
      <c r="J80" s="17" t="s">
        <v>250</v>
      </c>
      <c r="K80" s="19" t="s">
        <v>371</v>
      </c>
      <c r="L80" s="20" t="s">
        <v>372</v>
      </c>
      <c r="M80" s="16">
        <v>5.3807999999999989</v>
      </c>
      <c r="N80" s="16">
        <v>64.56959999999998</v>
      </c>
    </row>
    <row r="81" spans="1:14" x14ac:dyDescent="0.3">
      <c r="A81" s="2" t="s">
        <v>30</v>
      </c>
      <c r="B81" s="2">
        <v>1</v>
      </c>
      <c r="C81" s="2" t="s">
        <v>189</v>
      </c>
      <c r="D81" s="5">
        <v>46098</v>
      </c>
      <c r="E81" s="9">
        <v>20100265479</v>
      </c>
      <c r="F81" s="10" t="s">
        <v>209</v>
      </c>
      <c r="G81" s="10"/>
      <c r="I81" s="13">
        <v>12</v>
      </c>
      <c r="J81" s="17" t="s">
        <v>262</v>
      </c>
      <c r="K81" s="15" t="s">
        <v>371</v>
      </c>
      <c r="L81" s="16" t="s">
        <v>372</v>
      </c>
      <c r="M81" s="16">
        <f>+[1]!PRODUCTOS[[#This Row],[PRECIO]]*18%+[1]!PRODUCTOS[[#This Row],[PRECIO]]</f>
        <v>5.3807999999999998</v>
      </c>
      <c r="N81" s="16">
        <f>+[1]!PRODUCTOS[[#This Row],[PRECIOCIGV]]*[1]!PRODUCTOS[[#This Row],[CANTIDAD]]</f>
        <v>64.56959999999998</v>
      </c>
    </row>
    <row r="82" spans="1:14" x14ac:dyDescent="0.3">
      <c r="A82" s="2" t="s">
        <v>30</v>
      </c>
      <c r="B82" s="2">
        <v>1</v>
      </c>
      <c r="C82" s="2" t="s">
        <v>189</v>
      </c>
      <c r="D82" s="5">
        <v>46098</v>
      </c>
      <c r="E82" s="9">
        <v>20100265479</v>
      </c>
      <c r="F82" s="10" t="s">
        <v>209</v>
      </c>
      <c r="G82" s="10"/>
      <c r="I82" s="13">
        <v>12</v>
      </c>
      <c r="J82" s="17" t="s">
        <v>250</v>
      </c>
      <c r="K82" s="19" t="s">
        <v>391</v>
      </c>
      <c r="L82" s="20" t="s">
        <v>392</v>
      </c>
      <c r="M82" s="16">
        <v>5.3807999999999989</v>
      </c>
      <c r="N82" s="16">
        <v>64.56959999999998</v>
      </c>
    </row>
    <row r="83" spans="1:14" x14ac:dyDescent="0.3">
      <c r="A83" s="2" t="s">
        <v>30</v>
      </c>
      <c r="B83" s="2">
        <v>1</v>
      </c>
      <c r="C83" s="2" t="s">
        <v>189</v>
      </c>
      <c r="D83" s="5">
        <v>46098</v>
      </c>
      <c r="E83" s="9">
        <v>20100265479</v>
      </c>
      <c r="F83" s="10" t="s">
        <v>209</v>
      </c>
      <c r="G83" s="10"/>
      <c r="I83" s="13">
        <v>12</v>
      </c>
      <c r="J83" s="17" t="s">
        <v>250</v>
      </c>
      <c r="K83" s="19" t="s">
        <v>393</v>
      </c>
      <c r="L83" s="20" t="s">
        <v>394</v>
      </c>
      <c r="M83" s="16">
        <v>5.3807999999999989</v>
      </c>
      <c r="N83" s="16">
        <v>64.56959999999998</v>
      </c>
    </row>
    <row r="84" spans="1:14" x14ac:dyDescent="0.3">
      <c r="A84" s="2" t="s">
        <v>30</v>
      </c>
      <c r="B84" s="2">
        <v>1</v>
      </c>
      <c r="C84" s="2" t="s">
        <v>189</v>
      </c>
      <c r="D84" s="5">
        <v>46098</v>
      </c>
      <c r="E84" s="9">
        <v>20100265479</v>
      </c>
      <c r="F84" s="10" t="s">
        <v>209</v>
      </c>
      <c r="G84" s="10"/>
      <c r="I84" s="13">
        <v>48</v>
      </c>
      <c r="J84" s="17" t="s">
        <v>250</v>
      </c>
      <c r="K84" s="19" t="s">
        <v>395</v>
      </c>
      <c r="L84" s="20" t="s">
        <v>396</v>
      </c>
      <c r="M84" s="16">
        <v>5.3807999999999989</v>
      </c>
      <c r="N84" s="16">
        <v>258.27839999999992</v>
      </c>
    </row>
    <row r="85" spans="1:14" x14ac:dyDescent="0.3">
      <c r="A85" s="2" t="s">
        <v>30</v>
      </c>
      <c r="B85" s="2">
        <v>1</v>
      </c>
      <c r="C85" s="2" t="s">
        <v>189</v>
      </c>
      <c r="D85" s="5">
        <v>46098</v>
      </c>
      <c r="E85" s="9">
        <v>20100265479</v>
      </c>
      <c r="F85" s="10" t="s">
        <v>209</v>
      </c>
      <c r="G85" s="10"/>
      <c r="I85" s="13">
        <f>+[1]!PRODUCTOS[[#This Row],[CANT.]]</f>
        <v>12</v>
      </c>
      <c r="J85" s="17" t="s">
        <v>250</v>
      </c>
      <c r="K85" s="19" t="s">
        <v>397</v>
      </c>
      <c r="L85" s="20" t="s">
        <v>398</v>
      </c>
      <c r="M85" s="16">
        <f>+[1]!PRODUCTOS[[#This Row],[PRECIO]]*18%+[1]!PRODUCTOS[[#This Row],[PRECIO]]</f>
        <v>5.3807999999999998</v>
      </c>
      <c r="N85" s="16">
        <f>+[1]!PRODUCTOS[[#This Row],[PRECIOCIGV]]*[1]!PRODUCTOS[[#This Row],[CANTIDAD]]</f>
        <v>64.569599999999994</v>
      </c>
    </row>
    <row r="86" spans="1:14" x14ac:dyDescent="0.3">
      <c r="A86" s="2" t="s">
        <v>30</v>
      </c>
      <c r="B86" s="2">
        <v>1</v>
      </c>
      <c r="C86" s="2" t="s">
        <v>189</v>
      </c>
      <c r="D86" s="5">
        <v>46098</v>
      </c>
      <c r="E86" s="9">
        <v>20100265479</v>
      </c>
      <c r="F86" s="10" t="s">
        <v>209</v>
      </c>
      <c r="G86" s="10"/>
      <c r="I86" s="13">
        <f>+[1]!PRODUCTOS[[#This Row],[CANT.]]</f>
        <v>12</v>
      </c>
      <c r="J86" s="17" t="s">
        <v>250</v>
      </c>
      <c r="K86" s="19" t="s">
        <v>369</v>
      </c>
      <c r="L86" s="20" t="s">
        <v>370</v>
      </c>
      <c r="M86" s="16">
        <f>+[1]!PRODUCTOS[[#This Row],[PRECIO]]*18%+[1]!PRODUCTOS[[#This Row],[PRECIO]]</f>
        <v>5.3807999999999998</v>
      </c>
      <c r="N86" s="16">
        <f>+[1]!PRODUCTOS[[#This Row],[PRECIOCIGV]]*[1]!PRODUCTOS[[#This Row],[CANTIDAD]]</f>
        <v>64.56959999999998</v>
      </c>
    </row>
    <row r="87" spans="1:14" x14ac:dyDescent="0.3">
      <c r="A87" s="2" t="s">
        <v>31</v>
      </c>
      <c r="B87" s="2">
        <v>1</v>
      </c>
      <c r="C87" s="2" t="s">
        <v>189</v>
      </c>
      <c r="D87" s="5">
        <v>46099</v>
      </c>
      <c r="E87" s="9">
        <v>20600732375</v>
      </c>
      <c r="F87" s="10" t="s">
        <v>211</v>
      </c>
      <c r="G87" s="10"/>
      <c r="I87" s="13">
        <v>500</v>
      </c>
      <c r="J87" s="17" t="s">
        <v>250</v>
      </c>
      <c r="K87" s="15" t="s">
        <v>399</v>
      </c>
      <c r="L87" s="16" t="s">
        <v>400</v>
      </c>
      <c r="M87" s="16">
        <f>+[1]!PRODUCTOS[[#This Row],[PRECIO]]*18%+[1]!PRODUCTOS[[#This Row],[PRECIO]]</f>
        <v>5.3807999999999998</v>
      </c>
      <c r="N87" s="16">
        <f>+[1]!PRODUCTOS[[#This Row],[PRECIOCIGV]]*[1]!PRODUCTOS[[#This Row],[CANTIDAD]]</f>
        <v>64.56959999999998</v>
      </c>
    </row>
    <row r="88" spans="1:14" x14ac:dyDescent="0.3">
      <c r="A88" s="2" t="s">
        <v>32</v>
      </c>
      <c r="B88" s="2">
        <v>1</v>
      </c>
      <c r="C88" s="2" t="s">
        <v>189</v>
      </c>
      <c r="D88" s="5">
        <v>46099</v>
      </c>
      <c r="E88" s="9">
        <v>20100029741</v>
      </c>
      <c r="F88" s="10" t="s">
        <v>210</v>
      </c>
      <c r="G88" s="10"/>
      <c r="I88" s="13">
        <v>1000</v>
      </c>
      <c r="J88" s="17" t="s">
        <v>250</v>
      </c>
      <c r="K88" s="15" t="s">
        <v>345</v>
      </c>
      <c r="L88" s="16" t="s">
        <v>401</v>
      </c>
      <c r="M88" s="16">
        <v>2.2200000799999997</v>
      </c>
      <c r="N88" s="16">
        <v>2220.0000799999998</v>
      </c>
    </row>
    <row r="89" spans="1:14" x14ac:dyDescent="0.3">
      <c r="A89" s="2" t="s">
        <v>33</v>
      </c>
      <c r="B89" s="2">
        <v>1</v>
      </c>
      <c r="C89" s="2" t="s">
        <v>189</v>
      </c>
      <c r="D89" s="5">
        <v>46100</v>
      </c>
      <c r="E89" s="9">
        <v>10435078937</v>
      </c>
      <c r="F89" s="10" t="s">
        <v>206</v>
      </c>
      <c r="G89" s="10"/>
      <c r="I89" s="13">
        <v>50</v>
      </c>
      <c r="J89" s="17" t="s">
        <v>250</v>
      </c>
      <c r="K89" s="19" t="s">
        <v>402</v>
      </c>
      <c r="L89" s="20" t="s">
        <v>403</v>
      </c>
      <c r="M89" s="16">
        <f>+[1]!PRODUCTOS[[#This Row],[PRECIO]]*18%+[1]!PRODUCTOS[[#This Row],[PRECIO]]</f>
        <v>5.3807999999999998</v>
      </c>
      <c r="N89" s="16">
        <f>+[1]!PRODUCTOS[[#This Row],[PRECIOCIGV]]*[1]!PRODUCTOS[[#This Row],[CANTIDAD]]</f>
        <v>64.569599999999994</v>
      </c>
    </row>
    <row r="90" spans="1:14" x14ac:dyDescent="0.3">
      <c r="A90" s="2" t="s">
        <v>33</v>
      </c>
      <c r="B90" s="2">
        <v>1</v>
      </c>
      <c r="C90" s="2" t="s">
        <v>189</v>
      </c>
      <c r="D90" s="5">
        <v>46100</v>
      </c>
      <c r="E90" s="9">
        <v>10435078937</v>
      </c>
      <c r="F90" s="10" t="s">
        <v>206</v>
      </c>
      <c r="G90" s="10"/>
      <c r="I90" s="13">
        <v>50</v>
      </c>
      <c r="J90" s="17" t="s">
        <v>250</v>
      </c>
      <c r="K90" s="19" t="s">
        <v>404</v>
      </c>
      <c r="L90" s="20" t="s">
        <v>405</v>
      </c>
      <c r="M90" s="16">
        <f>+[1]!PRODUCTOS[[#This Row],[PRECIO]]*18%+[1]!PRODUCTOS[[#This Row],[PRECIO]]</f>
        <v>0</v>
      </c>
      <c r="N90" s="16">
        <f>+[1]!PRODUCTOS[[#This Row],[PRECIOCIGV]]*[1]!PRODUCTOS[[#This Row],[CANTIDAD]]</f>
        <v>0</v>
      </c>
    </row>
    <row r="91" spans="1:14" x14ac:dyDescent="0.3">
      <c r="A91" s="2" t="s">
        <v>34</v>
      </c>
      <c r="B91" s="2">
        <v>1</v>
      </c>
      <c r="C91" s="2" t="s">
        <v>189</v>
      </c>
      <c r="D91" s="5">
        <v>46100</v>
      </c>
      <c r="E91" s="9">
        <v>20608198408</v>
      </c>
      <c r="F91" s="10" t="s">
        <v>213</v>
      </c>
      <c r="G91" s="10"/>
      <c r="I91" s="13">
        <v>20</v>
      </c>
      <c r="J91" s="17" t="s">
        <v>250</v>
      </c>
      <c r="K91" s="15" t="s">
        <v>406</v>
      </c>
      <c r="L91" s="16" t="s">
        <v>407</v>
      </c>
      <c r="M91" s="16">
        <v>12.00000056</v>
      </c>
      <c r="N91" s="16">
        <v>240.00001120000002</v>
      </c>
    </row>
    <row r="92" spans="1:14" x14ac:dyDescent="0.3">
      <c r="A92" s="2" t="s">
        <v>35</v>
      </c>
      <c r="B92" s="2">
        <v>1</v>
      </c>
      <c r="C92" s="2" t="s">
        <v>189</v>
      </c>
      <c r="D92" s="5">
        <v>46101</v>
      </c>
      <c r="E92" s="9">
        <v>10075211215</v>
      </c>
      <c r="F92" s="10" t="s">
        <v>214</v>
      </c>
      <c r="G92" s="10"/>
      <c r="I92" s="13">
        <v>140</v>
      </c>
      <c r="J92" s="17" t="s">
        <v>250</v>
      </c>
      <c r="K92" s="15" t="s">
        <v>338</v>
      </c>
      <c r="L92" s="16" t="s">
        <v>339</v>
      </c>
      <c r="M92" s="16">
        <v>13.1771426</v>
      </c>
      <c r="N92" s="16">
        <v>1844.799964</v>
      </c>
    </row>
    <row r="93" spans="1:14" x14ac:dyDescent="0.3">
      <c r="A93" s="2" t="s">
        <v>36</v>
      </c>
      <c r="B93" s="2">
        <v>1</v>
      </c>
      <c r="C93" s="2" t="s">
        <v>189</v>
      </c>
      <c r="D93" s="5">
        <v>46101</v>
      </c>
      <c r="E93" s="9">
        <v>10075171868</v>
      </c>
      <c r="F93" s="10" t="s">
        <v>208</v>
      </c>
      <c r="G93" s="10"/>
      <c r="I93" s="13">
        <v>83</v>
      </c>
      <c r="J93" s="17" t="s">
        <v>250</v>
      </c>
      <c r="K93" s="15" t="s">
        <v>334</v>
      </c>
      <c r="L93" s="16" t="s">
        <v>335</v>
      </c>
      <c r="M93" s="16">
        <v>23.499999999895998</v>
      </c>
      <c r="N93" s="16">
        <v>1950.4999999913678</v>
      </c>
    </row>
    <row r="94" spans="1:14" x14ac:dyDescent="0.3">
      <c r="A94" s="2" t="s">
        <v>37</v>
      </c>
      <c r="B94" s="2">
        <v>1</v>
      </c>
      <c r="C94" s="2" t="s">
        <v>189</v>
      </c>
      <c r="D94" s="5">
        <v>46101</v>
      </c>
      <c r="E94" s="9">
        <v>20524055563</v>
      </c>
      <c r="F94" s="10" t="s">
        <v>215</v>
      </c>
      <c r="G94" s="10"/>
      <c r="I94" s="13">
        <v>6</v>
      </c>
      <c r="J94" s="17" t="s">
        <v>250</v>
      </c>
      <c r="K94" s="19" t="s">
        <v>408</v>
      </c>
      <c r="L94" s="20" t="s">
        <v>409</v>
      </c>
      <c r="M94" s="16">
        <v>80.00000000000999</v>
      </c>
      <c r="N94" s="16">
        <v>480.00000000005991</v>
      </c>
    </row>
    <row r="95" spans="1:14" x14ac:dyDescent="0.3">
      <c r="A95" s="2" t="s">
        <v>37</v>
      </c>
      <c r="B95" s="2">
        <v>1</v>
      </c>
      <c r="C95" s="2" t="s">
        <v>189</v>
      </c>
      <c r="D95" s="5">
        <v>46101</v>
      </c>
      <c r="E95" s="9">
        <v>20524055563</v>
      </c>
      <c r="F95" s="10" t="s">
        <v>215</v>
      </c>
      <c r="G95" s="10"/>
      <c r="I95" s="13">
        <v>6</v>
      </c>
      <c r="J95" s="17" t="s">
        <v>250</v>
      </c>
      <c r="K95" s="19" t="s">
        <v>410</v>
      </c>
      <c r="L95" s="20" t="s">
        <v>411</v>
      </c>
      <c r="M95" s="16">
        <v>70.99999999997199</v>
      </c>
      <c r="N95" s="16">
        <v>425.99999999983197</v>
      </c>
    </row>
    <row r="96" spans="1:14" x14ac:dyDescent="0.3">
      <c r="A96" s="2" t="s">
        <v>38</v>
      </c>
      <c r="B96" s="2">
        <v>1</v>
      </c>
      <c r="C96" s="2" t="s">
        <v>189</v>
      </c>
      <c r="D96" s="5">
        <v>46101</v>
      </c>
      <c r="E96" s="9">
        <v>20100029741</v>
      </c>
      <c r="F96" s="10" t="s">
        <v>210</v>
      </c>
      <c r="G96" s="10"/>
      <c r="I96" s="13">
        <v>400</v>
      </c>
      <c r="J96" s="17" t="s">
        <v>250</v>
      </c>
      <c r="K96" s="15" t="s">
        <v>260</v>
      </c>
      <c r="L96" s="16" t="s">
        <v>261</v>
      </c>
      <c r="M96" s="16">
        <v>28.999999779999996</v>
      </c>
      <c r="N96" s="16">
        <v>11599.999911999999</v>
      </c>
    </row>
    <row r="97" spans="1:15" x14ac:dyDescent="0.3">
      <c r="A97" s="2" t="s">
        <v>39</v>
      </c>
      <c r="B97" s="2">
        <v>1</v>
      </c>
      <c r="C97" s="2" t="s">
        <v>189</v>
      </c>
      <c r="D97" s="5">
        <v>46101</v>
      </c>
      <c r="E97" s="9">
        <v>20100029741</v>
      </c>
      <c r="F97" s="10" t="s">
        <v>210</v>
      </c>
      <c r="G97" s="10"/>
      <c r="I97" s="13">
        <f>+[1]!PRODUCTOS[[#This Row],[CANT.]]</f>
        <v>83</v>
      </c>
      <c r="J97" s="19" t="s">
        <v>250</v>
      </c>
      <c r="K97" s="19" t="s">
        <v>257</v>
      </c>
      <c r="L97" s="20" t="s">
        <v>258</v>
      </c>
      <c r="M97" s="16">
        <f>+[1]!PRODUCTOS[[#This Row],[PRECIO]]*18%+[1]!PRODUCTOS[[#This Row],[PRECIO]]</f>
        <v>23.499999999895998</v>
      </c>
      <c r="N97" s="16">
        <f>+[1]!PRODUCTOS[[#This Row],[PRECIOCIGV]]*[1]!PRODUCTOS[[#This Row],[CANTIDAD]]</f>
        <v>1950.4999999913678</v>
      </c>
      <c r="O97" s="22" t="s">
        <v>412</v>
      </c>
    </row>
    <row r="98" spans="1:15" x14ac:dyDescent="0.3">
      <c r="A98" s="2" t="s">
        <v>40</v>
      </c>
      <c r="B98" s="2" t="s">
        <v>190</v>
      </c>
      <c r="C98" s="2" t="s">
        <v>189</v>
      </c>
      <c r="D98" s="5">
        <v>46101</v>
      </c>
      <c r="E98" s="9">
        <v>20100029741</v>
      </c>
      <c r="F98" s="10" t="s">
        <v>210</v>
      </c>
      <c r="G98" s="10"/>
      <c r="I98" s="13">
        <v>1</v>
      </c>
      <c r="J98" s="19" t="s">
        <v>250</v>
      </c>
      <c r="K98" s="19">
        <v>60914</v>
      </c>
      <c r="L98" s="20" t="s">
        <v>341</v>
      </c>
      <c r="M98" s="16">
        <f>+[1]!PRODUCTOS[[#This Row],[PRECIO]]*18%+[1]!PRODUCTOS[[#This Row],[PRECIO]]</f>
        <v>80.000000000010004</v>
      </c>
      <c r="N98" s="16">
        <f>+[1]!PRODUCTOS[[#This Row],[PRECIOCIGV]]*[1]!PRODUCTOS[[#This Row],[CANTIDAD]]</f>
        <v>480.00000000005991</v>
      </c>
      <c r="O98" s="22" t="s">
        <v>412</v>
      </c>
    </row>
    <row r="99" spans="1:15" x14ac:dyDescent="0.3">
      <c r="A99" s="2" t="s">
        <v>41</v>
      </c>
      <c r="B99" s="2">
        <v>1</v>
      </c>
      <c r="C99" s="2" t="s">
        <v>189</v>
      </c>
      <c r="D99" s="5">
        <v>46102</v>
      </c>
      <c r="E99" s="9">
        <v>10075211215</v>
      </c>
      <c r="F99" s="10" t="s">
        <v>214</v>
      </c>
      <c r="G99" s="10"/>
      <c r="I99" s="13">
        <v>148</v>
      </c>
      <c r="J99" s="17" t="s">
        <v>250</v>
      </c>
      <c r="K99" s="15" t="s">
        <v>338</v>
      </c>
      <c r="L99" s="16" t="s">
        <v>339</v>
      </c>
      <c r="M99" s="16">
        <v>13.177027018999999</v>
      </c>
      <c r="N99" s="16">
        <v>1950.1999988119999</v>
      </c>
    </row>
    <row r="100" spans="1:15" x14ac:dyDescent="0.3">
      <c r="A100" s="2" t="s">
        <v>42</v>
      </c>
      <c r="B100" s="2">
        <v>1</v>
      </c>
      <c r="C100" s="2" t="s">
        <v>189</v>
      </c>
      <c r="D100" s="5">
        <v>46102</v>
      </c>
      <c r="E100" s="9">
        <v>10075171868</v>
      </c>
      <c r="F100" s="10" t="s">
        <v>208</v>
      </c>
      <c r="G100" s="10"/>
      <c r="I100" s="13">
        <v>55</v>
      </c>
      <c r="J100" s="17" t="s">
        <v>250</v>
      </c>
      <c r="K100" s="15" t="s">
        <v>413</v>
      </c>
      <c r="L100" s="16" t="s">
        <v>414</v>
      </c>
      <c r="M100" s="16">
        <v>34.99999888</v>
      </c>
      <c r="N100" s="16">
        <v>1924.9999384</v>
      </c>
    </row>
    <row r="101" spans="1:15" x14ac:dyDescent="0.3">
      <c r="A101" s="2" t="s">
        <v>43</v>
      </c>
      <c r="B101" s="2">
        <v>1</v>
      </c>
      <c r="C101" s="2" t="s">
        <v>189</v>
      </c>
      <c r="D101" s="5">
        <v>46104</v>
      </c>
      <c r="E101" s="9">
        <v>10075211215</v>
      </c>
      <c r="F101" s="10" t="s">
        <v>214</v>
      </c>
      <c r="G101" s="10"/>
      <c r="I101" s="13">
        <v>36</v>
      </c>
      <c r="J101" s="17" t="s">
        <v>250</v>
      </c>
      <c r="K101" s="15" t="s">
        <v>336</v>
      </c>
      <c r="L101" s="16" t="s">
        <v>337</v>
      </c>
      <c r="M101" s="16">
        <v>52.999999955999996</v>
      </c>
      <c r="N101" s="16">
        <v>1907.9999984159999</v>
      </c>
    </row>
    <row r="102" spans="1:15" x14ac:dyDescent="0.3">
      <c r="A102" s="2" t="s">
        <v>44</v>
      </c>
      <c r="B102" s="2">
        <v>1</v>
      </c>
      <c r="C102" s="2" t="s">
        <v>189</v>
      </c>
      <c r="D102" s="5">
        <v>46104</v>
      </c>
      <c r="E102" s="9">
        <v>10075171868</v>
      </c>
      <c r="F102" s="10" t="s">
        <v>208</v>
      </c>
      <c r="G102" s="10"/>
      <c r="I102" s="13">
        <v>50</v>
      </c>
      <c r="J102" s="17" t="s">
        <v>250</v>
      </c>
      <c r="K102" s="15" t="s">
        <v>413</v>
      </c>
      <c r="L102" s="16" t="s">
        <v>414</v>
      </c>
      <c r="M102" s="16">
        <v>34.999999941999995</v>
      </c>
      <c r="N102" s="16">
        <v>1749.9999970999997</v>
      </c>
    </row>
    <row r="103" spans="1:15" x14ac:dyDescent="0.3">
      <c r="A103" s="2" t="s">
        <v>45</v>
      </c>
      <c r="B103" s="2">
        <v>1</v>
      </c>
      <c r="C103" s="2" t="s">
        <v>189</v>
      </c>
      <c r="D103" s="5">
        <v>46104</v>
      </c>
      <c r="E103" s="9">
        <v>20100029741</v>
      </c>
      <c r="F103" s="10" t="s">
        <v>210</v>
      </c>
      <c r="G103" s="10"/>
      <c r="I103" s="13">
        <v>1000</v>
      </c>
      <c r="J103" s="17" t="s">
        <v>250</v>
      </c>
      <c r="K103" s="15" t="s">
        <v>345</v>
      </c>
      <c r="L103" s="16" t="s">
        <v>401</v>
      </c>
      <c r="M103" s="16">
        <v>2.2200000799999997</v>
      </c>
      <c r="N103" s="16">
        <v>2220.0000799999998</v>
      </c>
    </row>
    <row r="104" spans="1:15" x14ac:dyDescent="0.3">
      <c r="A104" s="2" t="s">
        <v>46</v>
      </c>
      <c r="B104" s="2">
        <v>1</v>
      </c>
      <c r="C104" s="2" t="s">
        <v>189</v>
      </c>
      <c r="D104" s="5">
        <v>46104</v>
      </c>
      <c r="E104" s="9">
        <v>20605498991</v>
      </c>
      <c r="F104" s="10" t="s">
        <v>216</v>
      </c>
      <c r="G104" s="10"/>
      <c r="I104" s="13">
        <f>+[1]!PRODUCTOS[[#This Row],[CANT.]]</f>
        <v>55</v>
      </c>
      <c r="J104" s="21" t="s">
        <v>250</v>
      </c>
      <c r="K104" s="19" t="s">
        <v>415</v>
      </c>
      <c r="L104" s="20" t="s">
        <v>416</v>
      </c>
      <c r="M104" s="16">
        <f>+[1]!PRODUCTOS[[#This Row],[PRECIO]]*18%+[1]!PRODUCTOS[[#This Row],[PRECIO]]</f>
        <v>34.99999888</v>
      </c>
      <c r="N104" s="16">
        <f>+[1]!PRODUCTOS[[#This Row],[PRECIOCIGV]]*[1]!PRODUCTOS[[#This Row],[CANTIDAD]]</f>
        <v>1924.9999384</v>
      </c>
    </row>
    <row r="105" spans="1:15" x14ac:dyDescent="0.3">
      <c r="A105" s="2" t="s">
        <v>46</v>
      </c>
      <c r="B105" s="2">
        <v>1</v>
      </c>
      <c r="C105" s="2" t="s">
        <v>189</v>
      </c>
      <c r="D105" s="5">
        <v>46104</v>
      </c>
      <c r="E105" s="9">
        <v>20605498991</v>
      </c>
      <c r="F105" s="10" t="s">
        <v>216</v>
      </c>
      <c r="G105" s="10"/>
      <c r="I105" s="13">
        <f>+[1]!PRODUCTOS[[#This Row],[CANT.]]</f>
        <v>36</v>
      </c>
      <c r="J105" s="21" t="s">
        <v>250</v>
      </c>
      <c r="K105" s="19" t="s">
        <v>417</v>
      </c>
      <c r="L105" s="20" t="s">
        <v>418</v>
      </c>
      <c r="M105" s="16">
        <f>+[1]!PRODUCTOS[[#This Row],[PRECIO]]*18%+[1]!PRODUCTOS[[#This Row],[PRECIO]]</f>
        <v>52.999999955999996</v>
      </c>
      <c r="N105" s="16">
        <f>+[1]!PRODUCTOS[[#This Row],[PRECIOCIGV]]*[1]!PRODUCTOS[[#This Row],[CANTIDAD]]</f>
        <v>1907.9999984159999</v>
      </c>
    </row>
    <row r="106" spans="1:15" x14ac:dyDescent="0.3">
      <c r="A106" s="2" t="s">
        <v>46</v>
      </c>
      <c r="B106" s="2">
        <v>1</v>
      </c>
      <c r="C106" s="2" t="s">
        <v>189</v>
      </c>
      <c r="D106" s="5">
        <v>46104</v>
      </c>
      <c r="E106" s="9">
        <v>20605498991</v>
      </c>
      <c r="F106" s="10" t="s">
        <v>216</v>
      </c>
      <c r="G106" s="10"/>
      <c r="I106" s="13">
        <f>+[1]!PRODUCTOS[[#This Row],[CANT.]]</f>
        <v>50</v>
      </c>
      <c r="J106" s="21" t="s">
        <v>250</v>
      </c>
      <c r="K106" s="19" t="s">
        <v>417</v>
      </c>
      <c r="L106" s="20" t="s">
        <v>418</v>
      </c>
      <c r="M106" s="16">
        <f>+[1]!PRODUCTOS[[#This Row],[PRECIO]]*18%+[1]!PRODUCTOS[[#This Row],[PRECIO]]</f>
        <v>34.999999942000002</v>
      </c>
      <c r="N106" s="16">
        <f>+[1]!PRODUCTOS[[#This Row],[PRECIOCIGV]]*[1]!PRODUCTOS[[#This Row],[CANTIDAD]]</f>
        <v>1749.9999970999997</v>
      </c>
    </row>
    <row r="107" spans="1:15" x14ac:dyDescent="0.3">
      <c r="A107" s="2" t="s">
        <v>46</v>
      </c>
      <c r="B107" s="2">
        <v>1</v>
      </c>
      <c r="C107" s="2" t="s">
        <v>189</v>
      </c>
      <c r="D107" s="5">
        <v>46104</v>
      </c>
      <c r="E107" s="9">
        <v>20605498991</v>
      </c>
      <c r="F107" s="10" t="s">
        <v>216</v>
      </c>
      <c r="G107" s="10"/>
      <c r="I107" s="13">
        <f>+[1]!PRODUCTOS[[#This Row],[CANT.]]</f>
        <v>1000</v>
      </c>
      <c r="J107" s="21" t="s">
        <v>250</v>
      </c>
      <c r="K107" s="19" t="s">
        <v>417</v>
      </c>
      <c r="L107" s="20" t="s">
        <v>418</v>
      </c>
      <c r="M107" s="16">
        <f>+[1]!PRODUCTOS[[#This Row],[PRECIO]]*18%+[1]!PRODUCTOS[[#This Row],[PRECIO]]</f>
        <v>2.2200000800000002</v>
      </c>
      <c r="N107" s="16">
        <f>+[1]!PRODUCTOS[[#This Row],[PRECIOCIGV]]*[1]!PRODUCTOS[[#This Row],[CANTIDAD]]</f>
        <v>2220.0000799999998</v>
      </c>
    </row>
    <row r="108" spans="1:15" x14ac:dyDescent="0.3">
      <c r="A108" s="2" t="s">
        <v>46</v>
      </c>
      <c r="B108" s="2">
        <v>1</v>
      </c>
      <c r="C108" s="2" t="s">
        <v>189</v>
      </c>
      <c r="D108" s="5">
        <v>46104</v>
      </c>
      <c r="E108" s="9">
        <v>20605498991</v>
      </c>
      <c r="F108" s="10" t="s">
        <v>216</v>
      </c>
      <c r="G108" s="10"/>
      <c r="I108" s="13">
        <f>+[1]!PRODUCTOS[[#This Row],[CANT.]]</f>
        <v>24</v>
      </c>
      <c r="J108" s="21" t="s">
        <v>250</v>
      </c>
      <c r="K108" s="19" t="s">
        <v>415</v>
      </c>
      <c r="L108" s="20" t="s">
        <v>416</v>
      </c>
      <c r="M108" s="16">
        <f>+[1]!PRODUCTOS[[#This Row],[PRECIO]]*18%+[1]!PRODUCTOS[[#This Row],[PRECIO]]</f>
        <v>8.0499999999940002</v>
      </c>
      <c r="N108" s="16">
        <f>+[1]!PRODUCTOS[[#This Row],[PRECIOCIGV]]*[1]!PRODUCTOS[[#This Row],[CANTIDAD]]</f>
        <v>193.199999999856</v>
      </c>
    </row>
    <row r="109" spans="1:15" x14ac:dyDescent="0.3">
      <c r="A109" s="2" t="s">
        <v>47</v>
      </c>
      <c r="B109" s="2">
        <v>1</v>
      </c>
      <c r="C109" s="2" t="s">
        <v>189</v>
      </c>
      <c r="D109" s="5">
        <v>46105</v>
      </c>
      <c r="E109" s="9">
        <v>20608800868</v>
      </c>
      <c r="F109" s="10" t="s">
        <v>200</v>
      </c>
      <c r="G109" s="10"/>
      <c r="I109" s="13">
        <v>300</v>
      </c>
      <c r="J109" s="17" t="s">
        <v>250</v>
      </c>
      <c r="K109" s="19" t="s">
        <v>263</v>
      </c>
      <c r="L109" s="20" t="s">
        <v>264</v>
      </c>
      <c r="M109" s="16">
        <f>+[1]!PRODUCTOS[[#This Row],[PRECIO]]*18%+[1]!PRODUCTOS[[#This Row],[PRECIO]]</f>
        <v>15.410000000001999</v>
      </c>
      <c r="N109" s="16">
        <f>+[1]!PRODUCTOS[[#This Row],[PRECIOCIGV]]*[1]!PRODUCTOS[[#This Row],[CANTIDAD]]</f>
        <v>308.20000000003995</v>
      </c>
    </row>
    <row r="110" spans="1:15" x14ac:dyDescent="0.3">
      <c r="A110" s="2" t="s">
        <v>47</v>
      </c>
      <c r="B110" s="2">
        <v>1</v>
      </c>
      <c r="C110" s="2" t="s">
        <v>189</v>
      </c>
      <c r="D110" s="5">
        <v>46105</v>
      </c>
      <c r="E110" s="9">
        <v>20608800868</v>
      </c>
      <c r="F110" s="10" t="s">
        <v>200</v>
      </c>
      <c r="G110" s="10"/>
      <c r="I110" s="13">
        <f>+[1]!PRODUCTOS[[#This Row],[CANT.]]*100</f>
        <v>4000</v>
      </c>
      <c r="J110" s="19" t="s">
        <v>262</v>
      </c>
      <c r="K110" s="19" t="s">
        <v>419</v>
      </c>
      <c r="L110" s="20" t="s">
        <v>420</v>
      </c>
      <c r="M110" s="16">
        <f>+[1]!PRODUCTOS[[#This Row],[PRECIO]]*18%+[1]!PRODUCTOS[[#This Row],[PRECIO]]</f>
        <v>15.310000000016</v>
      </c>
      <c r="N110" s="16">
        <f>+[1]!PRODUCTOS[[#This Row],[PRECIOCIGV]]*[1]!PRODUCTOS[[#This Row],[CANTIDAD]]</f>
        <v>612.40000000064003</v>
      </c>
    </row>
    <row r="111" spans="1:15" x14ac:dyDescent="0.3">
      <c r="A111" s="2" t="s">
        <v>48</v>
      </c>
      <c r="B111" s="2">
        <v>1</v>
      </c>
      <c r="C111" s="2" t="s">
        <v>189</v>
      </c>
      <c r="D111" s="5">
        <v>46105</v>
      </c>
      <c r="E111" s="9">
        <v>10075211215</v>
      </c>
      <c r="F111" s="10" t="s">
        <v>214</v>
      </c>
      <c r="G111" s="10"/>
      <c r="I111" s="13">
        <v>35</v>
      </c>
      <c r="J111" s="17" t="s">
        <v>250</v>
      </c>
      <c r="K111" s="15" t="s">
        <v>336</v>
      </c>
      <c r="L111" s="16" t="s">
        <v>337</v>
      </c>
      <c r="M111" s="16">
        <v>52.999999999659998</v>
      </c>
      <c r="N111" s="16">
        <v>1854.9999999880999</v>
      </c>
      <c r="O111" s="23" t="s">
        <v>259</v>
      </c>
    </row>
    <row r="112" spans="1:15" x14ac:dyDescent="0.3">
      <c r="A112" s="2" t="s">
        <v>49</v>
      </c>
      <c r="B112" s="2">
        <v>1</v>
      </c>
      <c r="C112" s="2" t="s">
        <v>189</v>
      </c>
      <c r="D112" s="5">
        <v>46105</v>
      </c>
      <c r="E112" s="9">
        <v>10075171868</v>
      </c>
      <c r="F112" s="10" t="s">
        <v>208</v>
      </c>
      <c r="G112" s="10"/>
      <c r="I112" s="13">
        <v>77</v>
      </c>
      <c r="J112" s="17" t="s">
        <v>250</v>
      </c>
      <c r="K112" s="15" t="s">
        <v>334</v>
      </c>
      <c r="L112" s="16" t="s">
        <v>335</v>
      </c>
      <c r="M112" s="16">
        <v>23.499999991399996</v>
      </c>
      <c r="N112" s="16">
        <v>1809.4999993377996</v>
      </c>
    </row>
    <row r="113" spans="1:15" x14ac:dyDescent="0.3">
      <c r="A113" s="2" t="s">
        <v>50</v>
      </c>
      <c r="B113" s="2">
        <v>1</v>
      </c>
      <c r="C113" s="2" t="s">
        <v>189</v>
      </c>
      <c r="D113" s="5">
        <v>46105</v>
      </c>
      <c r="E113" s="9">
        <v>20557030191</v>
      </c>
      <c r="F113" s="10" t="s">
        <v>217</v>
      </c>
      <c r="G113" s="10"/>
      <c r="I113" s="13">
        <f>+[1]!PRODUCTOS[[#This Row],[CANT.]]</f>
        <v>3</v>
      </c>
      <c r="J113" s="21" t="s">
        <v>250</v>
      </c>
      <c r="K113" s="19" t="s">
        <v>417</v>
      </c>
      <c r="L113" s="20" t="s">
        <v>418</v>
      </c>
      <c r="M113" s="16">
        <f>+[1]!PRODUCTOS[[#This Row],[PRECIO]]*18%+[1]!PRODUCTOS[[#This Row],[PRECIO]]</f>
        <v>2.9999999984000003</v>
      </c>
      <c r="N113" s="16">
        <f>+[1]!PRODUCTOS[[#This Row],[PRECIOCIGV]]*[1]!PRODUCTOS[[#This Row],[CANTIDAD]]</f>
        <v>899.99999952000007</v>
      </c>
    </row>
    <row r="114" spans="1:15" x14ac:dyDescent="0.3">
      <c r="A114" s="2" t="s">
        <v>51</v>
      </c>
      <c r="B114" s="2">
        <v>1</v>
      </c>
      <c r="C114" s="2" t="s">
        <v>191</v>
      </c>
      <c r="D114" s="5">
        <v>46105</v>
      </c>
      <c r="E114" s="9">
        <v>20100029741</v>
      </c>
      <c r="F114" s="10" t="s">
        <v>210</v>
      </c>
      <c r="G114" s="10"/>
      <c r="I114" s="13">
        <v>348</v>
      </c>
      <c r="J114" s="17" t="s">
        <v>250</v>
      </c>
      <c r="K114" s="15" t="s">
        <v>413</v>
      </c>
      <c r="L114" s="16" t="s">
        <v>414</v>
      </c>
      <c r="M114" s="16">
        <v>9.4396554399999992</v>
      </c>
      <c r="N114" s="16">
        <v>3285.0000931199997</v>
      </c>
    </row>
    <row r="115" spans="1:15" x14ac:dyDescent="0.3">
      <c r="A115" s="2" t="s">
        <v>51</v>
      </c>
      <c r="B115" s="2">
        <v>1</v>
      </c>
      <c r="C115" s="2" t="s">
        <v>191</v>
      </c>
      <c r="D115" s="5">
        <v>46105</v>
      </c>
      <c r="E115" s="9">
        <v>20100029741</v>
      </c>
      <c r="F115" s="10" t="s">
        <v>210</v>
      </c>
      <c r="G115" s="10"/>
      <c r="I115" s="13">
        <v>416</v>
      </c>
      <c r="J115" s="17" t="s">
        <v>250</v>
      </c>
      <c r="K115" s="15" t="s">
        <v>334</v>
      </c>
      <c r="L115" s="16" t="s">
        <v>335</v>
      </c>
      <c r="M115" s="16">
        <v>5.2644225000000002</v>
      </c>
      <c r="N115" s="16">
        <v>2189.9997600000002</v>
      </c>
    </row>
    <row r="116" spans="1:15" x14ac:dyDescent="0.3">
      <c r="A116" s="2" t="s">
        <v>51</v>
      </c>
      <c r="B116" s="2">
        <v>1</v>
      </c>
      <c r="C116" s="2" t="s">
        <v>191</v>
      </c>
      <c r="D116" s="5">
        <v>46105</v>
      </c>
      <c r="E116" s="9">
        <v>20100029741</v>
      </c>
      <c r="F116" s="10" t="s">
        <v>210</v>
      </c>
      <c r="G116" s="10"/>
      <c r="I116" s="13">
        <v>150</v>
      </c>
      <c r="J116" s="17" t="s">
        <v>250</v>
      </c>
      <c r="K116" s="15" t="s">
        <v>336</v>
      </c>
      <c r="L116" s="16" t="s">
        <v>337</v>
      </c>
      <c r="M116" s="16">
        <v>14.599999579999999</v>
      </c>
      <c r="N116" s="16">
        <v>2189.9999369999996</v>
      </c>
    </row>
    <row r="117" spans="1:15" x14ac:dyDescent="0.3">
      <c r="A117" s="2" t="s">
        <v>52</v>
      </c>
      <c r="B117" s="2">
        <v>1</v>
      </c>
      <c r="C117" s="2" t="s">
        <v>189</v>
      </c>
      <c r="D117" s="5">
        <v>46106</v>
      </c>
      <c r="E117" s="9">
        <v>20606248084</v>
      </c>
      <c r="F117" s="10" t="s">
        <v>218</v>
      </c>
      <c r="G117" s="10"/>
      <c r="I117" s="13">
        <v>12</v>
      </c>
      <c r="J117" s="17" t="s">
        <v>250</v>
      </c>
      <c r="K117" s="19" t="s">
        <v>421</v>
      </c>
      <c r="L117" s="20" t="s">
        <v>422</v>
      </c>
      <c r="M117" s="16">
        <f>+[1]!PRODUCTOS[[#This Row],[PRECIO]]*18%+[1]!PRODUCTOS[[#This Row],[PRECIO]]</f>
        <v>17.370000019999999</v>
      </c>
      <c r="N117" s="16">
        <f>+[1]!PRODUCTOS[[#This Row],[PRECIOCIGV]]*[1]!PRODUCTOS[[#This Row],[CANTIDAD]]</f>
        <v>833.76000095999996</v>
      </c>
    </row>
    <row r="118" spans="1:15" x14ac:dyDescent="0.3">
      <c r="A118" s="2" t="s">
        <v>52</v>
      </c>
      <c r="B118" s="2">
        <v>1</v>
      </c>
      <c r="C118" s="2" t="s">
        <v>189</v>
      </c>
      <c r="D118" s="5">
        <v>46106</v>
      </c>
      <c r="E118" s="9">
        <v>20606248084</v>
      </c>
      <c r="F118" s="10" t="s">
        <v>218</v>
      </c>
      <c r="G118" s="10"/>
      <c r="I118" s="13">
        <v>1</v>
      </c>
      <c r="J118" s="17" t="s">
        <v>250</v>
      </c>
      <c r="K118" s="19" t="s">
        <v>421</v>
      </c>
      <c r="L118" s="20" t="s">
        <v>422</v>
      </c>
      <c r="M118" s="16">
        <v>1.4514000000000001E-4</v>
      </c>
      <c r="N118" s="16">
        <v>1.4514000000000001E-4</v>
      </c>
    </row>
    <row r="119" spans="1:15" x14ac:dyDescent="0.3">
      <c r="A119" s="2" t="s">
        <v>53</v>
      </c>
      <c r="B119" s="2">
        <v>1</v>
      </c>
      <c r="C119" s="2" t="s">
        <v>189</v>
      </c>
      <c r="D119" s="5">
        <v>46106</v>
      </c>
      <c r="E119" s="9">
        <v>10075211215</v>
      </c>
      <c r="F119" s="10" t="s">
        <v>214</v>
      </c>
      <c r="G119" s="10"/>
      <c r="I119" s="13">
        <v>25</v>
      </c>
      <c r="J119" s="17" t="s">
        <v>250</v>
      </c>
      <c r="K119" s="15" t="s">
        <v>413</v>
      </c>
      <c r="L119" s="16" t="s">
        <v>414</v>
      </c>
      <c r="M119" s="16">
        <v>34.999999941999995</v>
      </c>
      <c r="N119" s="16">
        <v>874.99999854999987</v>
      </c>
    </row>
    <row r="120" spans="1:15" x14ac:dyDescent="0.3">
      <c r="A120" s="2" t="s">
        <v>53</v>
      </c>
      <c r="B120" s="2">
        <v>1</v>
      </c>
      <c r="C120" s="2" t="s">
        <v>189</v>
      </c>
      <c r="D120" s="5">
        <v>46106</v>
      </c>
      <c r="E120" s="9">
        <v>10075211215</v>
      </c>
      <c r="F120" s="10" t="s">
        <v>214</v>
      </c>
      <c r="G120" s="10"/>
      <c r="I120" s="13">
        <v>20</v>
      </c>
      <c r="J120" s="17" t="s">
        <v>250</v>
      </c>
      <c r="K120" s="15" t="s">
        <v>336</v>
      </c>
      <c r="L120" s="16" t="s">
        <v>337</v>
      </c>
      <c r="M120" s="16">
        <v>52.999999955999996</v>
      </c>
      <c r="N120" s="16">
        <v>1059.99999912</v>
      </c>
    </row>
    <row r="121" spans="1:15" x14ac:dyDescent="0.3">
      <c r="A121" s="2" t="s">
        <v>54</v>
      </c>
      <c r="B121" s="2">
        <v>1</v>
      </c>
      <c r="C121" s="2" t="s">
        <v>189</v>
      </c>
      <c r="D121" s="5">
        <v>46106</v>
      </c>
      <c r="E121" s="9">
        <v>10075171868</v>
      </c>
      <c r="F121" s="10" t="s">
        <v>208</v>
      </c>
      <c r="G121" s="10"/>
      <c r="I121" s="13">
        <v>55</v>
      </c>
      <c r="J121" s="17" t="s">
        <v>250</v>
      </c>
      <c r="K121" s="15" t="s">
        <v>334</v>
      </c>
      <c r="L121" s="16" t="s">
        <v>335</v>
      </c>
      <c r="M121" s="16">
        <v>23.499999991399996</v>
      </c>
      <c r="N121" s="16">
        <v>1292.4999995269998</v>
      </c>
    </row>
    <row r="122" spans="1:15" x14ac:dyDescent="0.3">
      <c r="A122" s="2" t="s">
        <v>54</v>
      </c>
      <c r="B122" s="2">
        <v>1</v>
      </c>
      <c r="C122" s="2" t="s">
        <v>189</v>
      </c>
      <c r="D122" s="5">
        <v>46106</v>
      </c>
      <c r="E122" s="9">
        <v>10075171868</v>
      </c>
      <c r="F122" s="10" t="s">
        <v>208</v>
      </c>
      <c r="G122" s="10"/>
      <c r="I122" s="13">
        <v>20</v>
      </c>
      <c r="J122" s="17" t="s">
        <v>250</v>
      </c>
      <c r="K122" s="15" t="s">
        <v>413</v>
      </c>
      <c r="L122" s="16" t="s">
        <v>414</v>
      </c>
      <c r="M122" s="16">
        <v>34.999999941999995</v>
      </c>
      <c r="N122" s="16">
        <v>699.99999883999988</v>
      </c>
    </row>
    <row r="123" spans="1:15" x14ac:dyDescent="0.3">
      <c r="A123" s="2" t="s">
        <v>55</v>
      </c>
      <c r="B123" s="2">
        <v>1</v>
      </c>
      <c r="C123" s="2" t="s">
        <v>189</v>
      </c>
      <c r="D123" s="5">
        <v>46106</v>
      </c>
      <c r="E123" s="9">
        <v>20100029741</v>
      </c>
      <c r="F123" s="10" t="s">
        <v>210</v>
      </c>
      <c r="G123" s="10"/>
      <c r="I123" s="13">
        <v>650</v>
      </c>
      <c r="J123" s="17" t="s">
        <v>250</v>
      </c>
      <c r="K123" s="15" t="s">
        <v>260</v>
      </c>
      <c r="L123" s="16" t="s">
        <v>261</v>
      </c>
      <c r="M123" s="16">
        <v>28.999999779999996</v>
      </c>
      <c r="N123" s="16">
        <v>18849.999856999999</v>
      </c>
      <c r="O123" s="22" t="s">
        <v>423</v>
      </c>
    </row>
    <row r="124" spans="1:15" x14ac:dyDescent="0.3">
      <c r="A124" s="2" t="s">
        <v>56</v>
      </c>
      <c r="B124" s="2">
        <v>1</v>
      </c>
      <c r="C124" s="2" t="s">
        <v>189</v>
      </c>
      <c r="D124" s="5">
        <v>46107</v>
      </c>
      <c r="E124" s="9">
        <v>10075211215</v>
      </c>
      <c r="F124" s="10" t="s">
        <v>214</v>
      </c>
      <c r="G124" s="10"/>
      <c r="I124" s="13">
        <v>47</v>
      </c>
      <c r="J124" s="17" t="s">
        <v>250</v>
      </c>
      <c r="K124" s="15" t="s">
        <v>424</v>
      </c>
      <c r="L124" s="16" t="s">
        <v>425</v>
      </c>
      <c r="M124" s="16">
        <v>37.999999963999997</v>
      </c>
      <c r="N124" s="16">
        <v>1785.9999983079999</v>
      </c>
    </row>
    <row r="125" spans="1:15" x14ac:dyDescent="0.3">
      <c r="A125" s="2" t="s">
        <v>56</v>
      </c>
      <c r="B125" s="2">
        <v>1</v>
      </c>
      <c r="C125" s="2" t="s">
        <v>189</v>
      </c>
      <c r="D125" s="5">
        <v>46107</v>
      </c>
      <c r="E125" s="9">
        <v>10075211215</v>
      </c>
      <c r="F125" s="10" t="s">
        <v>214</v>
      </c>
      <c r="G125" s="10"/>
      <c r="I125" s="13">
        <f>+[1]!PRODUCTOS[[#This Row],[CANT.]]</f>
        <v>55</v>
      </c>
      <c r="J125" s="17" t="s">
        <v>250</v>
      </c>
      <c r="K125" s="19" t="s">
        <v>426</v>
      </c>
      <c r="L125" s="20" t="s">
        <v>427</v>
      </c>
      <c r="M125" s="16">
        <f>+[1]!PRODUCTOS[[#This Row],[PRECIO]]*18%+[1]!PRODUCTOS[[#This Row],[PRECIO]]</f>
        <v>23.499999991399999</v>
      </c>
      <c r="N125" s="16">
        <f>+[1]!PRODUCTOS[[#This Row],[PRECIOCIGV]]*[1]!PRODUCTOS[[#This Row],[CANTIDAD]]</f>
        <v>1292.4999995269998</v>
      </c>
    </row>
    <row r="126" spans="1:15" x14ac:dyDescent="0.3">
      <c r="A126" s="2" t="s">
        <v>57</v>
      </c>
      <c r="B126" s="2">
        <v>1</v>
      </c>
      <c r="C126" s="2" t="s">
        <v>189</v>
      </c>
      <c r="D126" s="5">
        <v>46107</v>
      </c>
      <c r="E126" s="9">
        <v>20508715332</v>
      </c>
      <c r="F126" s="10" t="s">
        <v>219</v>
      </c>
      <c r="G126" s="10"/>
      <c r="I126" s="13">
        <v>1500</v>
      </c>
      <c r="J126" s="17" t="s">
        <v>262</v>
      </c>
      <c r="K126" s="19" t="s">
        <v>419</v>
      </c>
      <c r="L126" s="20" t="s">
        <v>420</v>
      </c>
      <c r="M126" s="16">
        <v>2.9499999999999997</v>
      </c>
      <c r="N126" s="16">
        <v>4425</v>
      </c>
    </row>
    <row r="127" spans="1:15" x14ac:dyDescent="0.3">
      <c r="A127" s="2" t="s">
        <v>57</v>
      </c>
      <c r="B127" s="2">
        <v>1</v>
      </c>
      <c r="C127" s="2" t="s">
        <v>189</v>
      </c>
      <c r="D127" s="5">
        <v>46107</v>
      </c>
      <c r="E127" s="9">
        <v>20508715332</v>
      </c>
      <c r="F127" s="10" t="s">
        <v>219</v>
      </c>
      <c r="G127" s="10"/>
      <c r="I127" s="13">
        <f>+[1]!PRODUCTOS[[#This Row],[CANT.]]</f>
        <v>650</v>
      </c>
      <c r="J127" s="17" t="s">
        <v>250</v>
      </c>
      <c r="K127" s="19" t="s">
        <v>428</v>
      </c>
      <c r="L127" s="20" t="s">
        <v>429</v>
      </c>
      <c r="M127" s="16">
        <f>+[1]!PRODUCTOS[[#This Row],[PRECIO]]*18%+[1]!PRODUCTOS[[#This Row],[PRECIO]]</f>
        <v>28.999999779999996</v>
      </c>
      <c r="N127" s="16">
        <f>+[1]!PRODUCTOS[[#This Row],[PRECIOCIGV]]*[1]!PRODUCTOS[[#This Row],[CANTIDAD]]</f>
        <v>18849.999856999999</v>
      </c>
    </row>
    <row r="128" spans="1:15" x14ac:dyDescent="0.3">
      <c r="A128" s="2" t="s">
        <v>58</v>
      </c>
      <c r="B128" s="2">
        <v>1</v>
      </c>
      <c r="C128" s="2" t="s">
        <v>189</v>
      </c>
      <c r="D128" s="5">
        <v>46107</v>
      </c>
      <c r="E128" s="9">
        <v>10075171868</v>
      </c>
      <c r="F128" s="10" t="s">
        <v>208</v>
      </c>
      <c r="G128" s="10"/>
      <c r="I128" s="13">
        <v>50</v>
      </c>
      <c r="J128" s="17" t="s">
        <v>250</v>
      </c>
      <c r="K128" s="15" t="s">
        <v>334</v>
      </c>
      <c r="L128" s="16" t="s">
        <v>335</v>
      </c>
      <c r="M128" s="16">
        <v>23.499999956</v>
      </c>
      <c r="N128" s="16">
        <v>1174.9999978000001</v>
      </c>
    </row>
    <row r="129" spans="1:14" x14ac:dyDescent="0.3">
      <c r="A129" s="2" t="s">
        <v>58</v>
      </c>
      <c r="B129" s="2">
        <v>1</v>
      </c>
      <c r="C129" s="2" t="s">
        <v>189</v>
      </c>
      <c r="D129" s="5">
        <v>46107</v>
      </c>
      <c r="E129" s="9">
        <v>10075171868</v>
      </c>
      <c r="F129" s="10" t="s">
        <v>208</v>
      </c>
      <c r="G129" s="10"/>
      <c r="I129" s="13">
        <v>22</v>
      </c>
      <c r="J129" s="17" t="s">
        <v>250</v>
      </c>
      <c r="K129" s="15" t="s">
        <v>413</v>
      </c>
      <c r="L129" s="16" t="s">
        <v>414</v>
      </c>
      <c r="M129" s="16">
        <v>34.99999888</v>
      </c>
      <c r="N129" s="16">
        <v>769.99997536000001</v>
      </c>
    </row>
    <row r="130" spans="1:14" x14ac:dyDescent="0.3">
      <c r="A130" s="2" t="s">
        <v>59</v>
      </c>
      <c r="B130" s="2">
        <v>1</v>
      </c>
      <c r="C130" s="2" t="s">
        <v>189</v>
      </c>
      <c r="D130" s="5">
        <v>46108</v>
      </c>
      <c r="E130" s="9">
        <v>20608800868</v>
      </c>
      <c r="F130" s="10" t="s">
        <v>200</v>
      </c>
      <c r="G130" s="10"/>
      <c r="I130" s="13">
        <f>+[1]!PRODUCTOS[[#This Row],[CANT.]]*100</f>
        <v>150000</v>
      </c>
      <c r="J130" s="19" t="s">
        <v>262</v>
      </c>
      <c r="K130" s="19" t="s">
        <v>419</v>
      </c>
      <c r="L130" s="20" t="s">
        <v>420</v>
      </c>
      <c r="M130" s="16">
        <f>+[1]!PRODUCTOS[[#This Row],[PRECIO]]*18%+[1]!PRODUCTOS[[#This Row],[PRECIO]]</f>
        <v>2.95</v>
      </c>
      <c r="N130" s="16">
        <f>+[1]!PRODUCTOS[[#This Row],[PRECIOCIGV]]*[1]!PRODUCTOS[[#This Row],[CANTIDAD]]</f>
        <v>4425</v>
      </c>
    </row>
    <row r="131" spans="1:14" x14ac:dyDescent="0.3">
      <c r="A131" s="2" t="s">
        <v>59</v>
      </c>
      <c r="B131" s="2">
        <v>1</v>
      </c>
      <c r="C131" s="2" t="s">
        <v>189</v>
      </c>
      <c r="D131" s="5">
        <v>46108</v>
      </c>
      <c r="E131" s="9">
        <v>20608800868</v>
      </c>
      <c r="F131" s="10" t="s">
        <v>200</v>
      </c>
      <c r="G131" s="10"/>
      <c r="I131" s="13">
        <v>200</v>
      </c>
      <c r="J131" s="17" t="s">
        <v>250</v>
      </c>
      <c r="K131" s="19" t="s">
        <v>263</v>
      </c>
      <c r="L131" s="20" t="s">
        <v>264</v>
      </c>
      <c r="M131" s="16">
        <f>+[1]!PRODUCTOS[[#This Row],[PRECIO]]*18%+[1]!PRODUCTOS[[#This Row],[PRECIO]]</f>
        <v>3.700000094</v>
      </c>
      <c r="N131" s="16">
        <f>+[1]!PRODUCTOS[[#This Row],[PRECIOCIGV]]*[1]!PRODUCTOS[[#This Row],[CANTIDAD]]</f>
        <v>1665.0000422999999</v>
      </c>
    </row>
    <row r="132" spans="1:14" x14ac:dyDescent="0.3">
      <c r="A132" s="2" t="s">
        <v>60</v>
      </c>
      <c r="B132" s="2">
        <v>1</v>
      </c>
      <c r="C132" s="2" t="s">
        <v>189</v>
      </c>
      <c r="D132" s="5">
        <v>46108</v>
      </c>
      <c r="E132" s="9">
        <v>10075211215</v>
      </c>
      <c r="F132" s="10" t="s">
        <v>214</v>
      </c>
      <c r="G132" s="10"/>
      <c r="I132" s="13">
        <v>15</v>
      </c>
      <c r="J132" s="17" t="s">
        <v>250</v>
      </c>
      <c r="K132" s="15" t="s">
        <v>430</v>
      </c>
      <c r="L132" s="16" t="s">
        <v>431</v>
      </c>
      <c r="M132" s="16">
        <v>9.9999999998979998</v>
      </c>
      <c r="N132" s="16">
        <v>149.99999999847</v>
      </c>
    </row>
    <row r="133" spans="1:14" x14ac:dyDescent="0.3">
      <c r="A133" s="2" t="s">
        <v>60</v>
      </c>
      <c r="B133" s="2">
        <v>1</v>
      </c>
      <c r="C133" s="2" t="s">
        <v>189</v>
      </c>
      <c r="D133" s="5">
        <v>46108</v>
      </c>
      <c r="E133" s="9">
        <v>10075211215</v>
      </c>
      <c r="F133" s="10" t="s">
        <v>214</v>
      </c>
      <c r="G133" s="10"/>
      <c r="I133" s="13">
        <v>10</v>
      </c>
      <c r="J133" s="17" t="s">
        <v>250</v>
      </c>
      <c r="K133" s="15" t="s">
        <v>432</v>
      </c>
      <c r="L133" s="16" t="s">
        <v>433</v>
      </c>
      <c r="M133" s="16">
        <v>159.9999996</v>
      </c>
      <c r="N133" s="16">
        <v>1599.999996</v>
      </c>
    </row>
    <row r="134" spans="1:14" x14ac:dyDescent="0.3">
      <c r="A134" s="2" t="s">
        <v>61</v>
      </c>
      <c r="B134" s="2">
        <v>1</v>
      </c>
      <c r="C134" s="2" t="s">
        <v>189</v>
      </c>
      <c r="D134" s="5">
        <v>46108</v>
      </c>
      <c r="E134" s="9">
        <v>10075171868</v>
      </c>
      <c r="F134" s="10" t="s">
        <v>208</v>
      </c>
      <c r="G134" s="10"/>
      <c r="I134" s="13">
        <v>15</v>
      </c>
      <c r="J134" s="17" t="s">
        <v>250</v>
      </c>
      <c r="K134" s="15" t="s">
        <v>318</v>
      </c>
      <c r="L134" s="16" t="s">
        <v>319</v>
      </c>
      <c r="M134" s="16">
        <v>89.999999999199986</v>
      </c>
      <c r="N134" s="16">
        <v>1349.9999999879997</v>
      </c>
    </row>
    <row r="135" spans="1:14" x14ac:dyDescent="0.3">
      <c r="A135" s="2" t="s">
        <v>61</v>
      </c>
      <c r="B135" s="2">
        <v>1</v>
      </c>
      <c r="C135" s="2" t="s">
        <v>189</v>
      </c>
      <c r="D135" s="5">
        <v>46108</v>
      </c>
      <c r="E135" s="9">
        <v>10075171868</v>
      </c>
      <c r="F135" s="10" t="s">
        <v>208</v>
      </c>
      <c r="G135" s="10"/>
      <c r="I135" s="13">
        <v>20</v>
      </c>
      <c r="J135" s="17" t="s">
        <v>250</v>
      </c>
      <c r="K135" s="15" t="s">
        <v>338</v>
      </c>
      <c r="L135" s="16" t="s">
        <v>339</v>
      </c>
      <c r="M135" s="16">
        <v>16.999999999979998</v>
      </c>
      <c r="N135" s="16">
        <v>339.99999999959994</v>
      </c>
    </row>
    <row r="136" spans="1:14" x14ac:dyDescent="0.3">
      <c r="A136" s="2" t="s">
        <v>62</v>
      </c>
      <c r="B136" s="2">
        <v>1</v>
      </c>
      <c r="C136" s="2" t="s">
        <v>189</v>
      </c>
      <c r="D136" s="5">
        <v>46109</v>
      </c>
      <c r="E136" s="9">
        <v>10075211215</v>
      </c>
      <c r="F136" s="10" t="s">
        <v>214</v>
      </c>
      <c r="G136" s="10"/>
      <c r="I136" s="13">
        <v>43</v>
      </c>
      <c r="J136" s="17" t="s">
        <v>250</v>
      </c>
      <c r="K136" s="15" t="s">
        <v>413</v>
      </c>
      <c r="L136" s="16" t="s">
        <v>414</v>
      </c>
      <c r="M136" s="16">
        <v>39.999999899999999</v>
      </c>
      <c r="N136" s="16">
        <v>1719.9999957</v>
      </c>
    </row>
    <row r="137" spans="1:14" x14ac:dyDescent="0.3">
      <c r="A137" s="2" t="s">
        <v>63</v>
      </c>
      <c r="B137" s="2">
        <v>1</v>
      </c>
      <c r="C137" s="2" t="s">
        <v>189</v>
      </c>
      <c r="D137" s="5">
        <v>46109</v>
      </c>
      <c r="E137" s="9">
        <v>10075171868</v>
      </c>
      <c r="F137" s="10" t="s">
        <v>208</v>
      </c>
      <c r="G137" s="10"/>
      <c r="I137" s="13">
        <v>25</v>
      </c>
      <c r="J137" s="17" t="s">
        <v>250</v>
      </c>
      <c r="K137" s="15" t="s">
        <v>336</v>
      </c>
      <c r="L137" s="16" t="s">
        <v>337</v>
      </c>
      <c r="M137" s="16">
        <v>59.999999967999997</v>
      </c>
      <c r="N137" s="16">
        <v>1499.9999991999998</v>
      </c>
    </row>
    <row r="138" spans="1:14" x14ac:dyDescent="0.3">
      <c r="A138" s="2" t="s">
        <v>63</v>
      </c>
      <c r="B138" s="2">
        <v>1</v>
      </c>
      <c r="C138" s="2" t="s">
        <v>189</v>
      </c>
      <c r="D138" s="5">
        <v>46109</v>
      </c>
      <c r="E138" s="9">
        <v>10075171868</v>
      </c>
      <c r="F138" s="10" t="s">
        <v>208</v>
      </c>
      <c r="G138" s="10"/>
      <c r="I138" s="13">
        <v>25</v>
      </c>
      <c r="J138" s="17" t="s">
        <v>250</v>
      </c>
      <c r="K138" s="15" t="s">
        <v>338</v>
      </c>
      <c r="L138" s="16" t="s">
        <v>339</v>
      </c>
      <c r="M138" s="16">
        <v>16.999999927999998</v>
      </c>
      <c r="N138" s="16">
        <v>424.99999819999994</v>
      </c>
    </row>
    <row r="139" spans="1:14" x14ac:dyDescent="0.3">
      <c r="A139" s="2" t="s">
        <v>64</v>
      </c>
      <c r="B139" s="2">
        <v>1</v>
      </c>
      <c r="C139" s="2" t="s">
        <v>189</v>
      </c>
      <c r="D139" s="5">
        <v>46111</v>
      </c>
      <c r="E139" s="9">
        <v>20608800868</v>
      </c>
      <c r="F139" s="10" t="s">
        <v>200</v>
      </c>
      <c r="G139" s="10"/>
      <c r="I139" s="13">
        <f>+[1]!PRODUCTOS[[#This Row],[CANT.]]*100</f>
        <v>2000</v>
      </c>
      <c r="J139" s="19" t="s">
        <v>262</v>
      </c>
      <c r="K139" s="19" t="s">
        <v>419</v>
      </c>
      <c r="L139" s="20" t="s">
        <v>420</v>
      </c>
      <c r="M139" s="16">
        <f>+[1]!PRODUCTOS[[#This Row],[PRECIO]]*18%+[1]!PRODUCTOS[[#This Row],[PRECIO]]</f>
        <v>16.999999999979998</v>
      </c>
      <c r="N139" s="16">
        <f>+[1]!PRODUCTOS[[#This Row],[PRECIOCIGV]]*[1]!PRODUCTOS[[#This Row],[CANTIDAD]]</f>
        <v>339.99999999959994</v>
      </c>
    </row>
    <row r="140" spans="1:14" x14ac:dyDescent="0.3">
      <c r="A140" s="2" t="s">
        <v>64</v>
      </c>
      <c r="B140" s="2">
        <v>1</v>
      </c>
      <c r="C140" s="2" t="s">
        <v>189</v>
      </c>
      <c r="D140" s="5">
        <v>46111</v>
      </c>
      <c r="E140" s="9">
        <v>20608800868</v>
      </c>
      <c r="F140" s="10" t="s">
        <v>200</v>
      </c>
      <c r="G140" s="10"/>
      <c r="I140" s="13">
        <f>+[1]!PRODUCTOS[[#This Row],[CANT.]]</f>
        <v>43</v>
      </c>
      <c r="J140" s="17" t="s">
        <v>250</v>
      </c>
      <c r="K140" s="19" t="s">
        <v>426</v>
      </c>
      <c r="L140" s="20" t="s">
        <v>427</v>
      </c>
      <c r="M140" s="16">
        <f>+[1]!PRODUCTOS[[#This Row],[PRECIO]]*18%+[1]!PRODUCTOS[[#This Row],[PRECIO]]</f>
        <v>39.999999899999999</v>
      </c>
      <c r="N140" s="16">
        <f>+[1]!PRODUCTOS[[#This Row],[PRECIOCIGV]]*[1]!PRODUCTOS[[#This Row],[CANTIDAD]]</f>
        <v>1719.9999957</v>
      </c>
    </row>
    <row r="141" spans="1:14" x14ac:dyDescent="0.3">
      <c r="A141" s="2" t="s">
        <v>65</v>
      </c>
      <c r="B141" s="2">
        <v>1</v>
      </c>
      <c r="C141" s="2" t="s">
        <v>189</v>
      </c>
      <c r="D141" s="5">
        <v>46111</v>
      </c>
      <c r="E141" s="9">
        <v>10075211215</v>
      </c>
      <c r="F141" s="10" t="s">
        <v>214</v>
      </c>
      <c r="G141" s="10"/>
      <c r="I141" s="13">
        <v>35</v>
      </c>
      <c r="J141" s="17" t="s">
        <v>250</v>
      </c>
      <c r="K141" s="15" t="s">
        <v>424</v>
      </c>
      <c r="L141" s="16" t="s">
        <v>425</v>
      </c>
      <c r="M141" s="16">
        <v>37.999999963999997</v>
      </c>
      <c r="N141" s="16">
        <v>1329.9999987399999</v>
      </c>
    </row>
    <row r="142" spans="1:14" x14ac:dyDescent="0.3">
      <c r="A142" s="2" t="s">
        <v>65</v>
      </c>
      <c r="B142" s="2">
        <v>1</v>
      </c>
      <c r="C142" s="2" t="s">
        <v>189</v>
      </c>
      <c r="D142" s="5">
        <v>46111</v>
      </c>
      <c r="E142" s="9">
        <v>10075211215</v>
      </c>
      <c r="F142" s="10" t="s">
        <v>214</v>
      </c>
      <c r="G142" s="10"/>
      <c r="I142" s="13">
        <v>20</v>
      </c>
      <c r="J142" s="17" t="s">
        <v>250</v>
      </c>
      <c r="K142" s="15" t="s">
        <v>334</v>
      </c>
      <c r="L142" s="16" t="s">
        <v>335</v>
      </c>
      <c r="M142" s="16">
        <v>21.999999886000001</v>
      </c>
      <c r="N142" s="16">
        <v>439.99999772000001</v>
      </c>
    </row>
    <row r="143" spans="1:14" x14ac:dyDescent="0.3">
      <c r="A143" s="2" t="s">
        <v>66</v>
      </c>
      <c r="B143" s="2">
        <v>1</v>
      </c>
      <c r="C143" s="2" t="s">
        <v>189</v>
      </c>
      <c r="D143" s="5">
        <v>46111</v>
      </c>
      <c r="E143" s="9">
        <v>10075171868</v>
      </c>
      <c r="F143" s="10" t="s">
        <v>208</v>
      </c>
      <c r="G143" s="10"/>
      <c r="I143" s="13">
        <f>+[1]!PRODUCTOS[[#This Row],[CANT.]]</f>
        <v>2</v>
      </c>
      <c r="J143" s="17" t="s">
        <v>250</v>
      </c>
      <c r="K143" s="19" t="s">
        <v>426</v>
      </c>
      <c r="L143" s="20" t="s">
        <v>427</v>
      </c>
      <c r="M143" s="16">
        <f>+[1]!PRODUCTOS[[#This Row],[PRECIO]]*18%+[1]!PRODUCTOS[[#This Row],[PRECIO]]</f>
        <v>2.9999999040000001</v>
      </c>
      <c r="N143" s="16">
        <f>+[1]!PRODUCTOS[[#This Row],[PRECIOCIGV]]*[1]!PRODUCTOS[[#This Row],[CANTIDAD]]</f>
        <v>599.9999808</v>
      </c>
    </row>
    <row r="144" spans="1:14" x14ac:dyDescent="0.3">
      <c r="A144" s="2" t="s">
        <v>66</v>
      </c>
      <c r="B144" s="2">
        <v>1</v>
      </c>
      <c r="C144" s="2" t="s">
        <v>189</v>
      </c>
      <c r="D144" s="5">
        <v>46111</v>
      </c>
      <c r="E144" s="9">
        <v>10075171868</v>
      </c>
      <c r="F144" s="10" t="s">
        <v>208</v>
      </c>
      <c r="G144" s="10"/>
      <c r="I144" s="13">
        <v>200</v>
      </c>
      <c r="J144" s="17" t="s">
        <v>250</v>
      </c>
      <c r="K144" s="15" t="s">
        <v>430</v>
      </c>
      <c r="L144" s="16" t="s">
        <v>431</v>
      </c>
      <c r="M144" s="16">
        <v>7.4999999959999997</v>
      </c>
      <c r="N144" s="16">
        <v>1499.9999991999998</v>
      </c>
    </row>
    <row r="145" spans="1:15" x14ac:dyDescent="0.3">
      <c r="A145" s="2" t="s">
        <v>66</v>
      </c>
      <c r="B145" s="2">
        <v>1</v>
      </c>
      <c r="C145" s="2" t="s">
        <v>189</v>
      </c>
      <c r="D145" s="5">
        <v>46111</v>
      </c>
      <c r="E145" s="9">
        <v>10075171868</v>
      </c>
      <c r="F145" s="10" t="s">
        <v>208</v>
      </c>
      <c r="G145" s="10"/>
      <c r="I145" s="13">
        <v>245</v>
      </c>
      <c r="J145" s="17" t="s">
        <v>250</v>
      </c>
      <c r="K145" s="15" t="s">
        <v>334</v>
      </c>
      <c r="L145" s="16" t="s">
        <v>335</v>
      </c>
      <c r="M145" s="16">
        <v>17.999999895999999</v>
      </c>
      <c r="N145" s="16">
        <v>4409.9999745199993</v>
      </c>
    </row>
    <row r="146" spans="1:15" x14ac:dyDescent="0.3">
      <c r="A146" s="2" t="s">
        <v>66</v>
      </c>
      <c r="B146" s="2">
        <v>1</v>
      </c>
      <c r="C146" s="2" t="s">
        <v>189</v>
      </c>
      <c r="D146" s="5">
        <v>46111</v>
      </c>
      <c r="E146" s="9">
        <v>10075171868</v>
      </c>
      <c r="F146" s="10" t="s">
        <v>208</v>
      </c>
      <c r="G146" s="10"/>
      <c r="I146" s="13">
        <v>310</v>
      </c>
      <c r="J146" s="17" t="s">
        <v>250</v>
      </c>
      <c r="K146" s="15" t="s">
        <v>413</v>
      </c>
      <c r="L146" s="16" t="s">
        <v>414</v>
      </c>
      <c r="M146" s="16">
        <v>32.4999999984</v>
      </c>
      <c r="N146" s="16">
        <v>10074.999999504</v>
      </c>
    </row>
    <row r="147" spans="1:15" x14ac:dyDescent="0.3">
      <c r="A147" s="2" t="s">
        <v>66</v>
      </c>
      <c r="B147" s="2">
        <v>1</v>
      </c>
      <c r="C147" s="2" t="s">
        <v>189</v>
      </c>
      <c r="D147" s="5">
        <v>46111</v>
      </c>
      <c r="E147" s="9">
        <v>10075171868</v>
      </c>
      <c r="F147" s="10" t="s">
        <v>208</v>
      </c>
      <c r="G147" s="10"/>
      <c r="I147" s="13">
        <v>150</v>
      </c>
      <c r="J147" s="17" t="s">
        <v>250</v>
      </c>
      <c r="K147" s="15" t="s">
        <v>336</v>
      </c>
      <c r="L147" s="16" t="s">
        <v>337</v>
      </c>
      <c r="M147" s="16">
        <v>54.999999999379995</v>
      </c>
      <c r="N147" s="16">
        <v>8249.9999999069987</v>
      </c>
    </row>
    <row r="148" spans="1:15" x14ac:dyDescent="0.3">
      <c r="A148" s="2" t="s">
        <v>67</v>
      </c>
      <c r="B148" s="2">
        <v>1</v>
      </c>
      <c r="C148" s="2" t="s">
        <v>189</v>
      </c>
      <c r="D148" s="5">
        <v>46111</v>
      </c>
      <c r="E148" s="9">
        <v>10075171868</v>
      </c>
      <c r="F148" s="10" t="s">
        <v>208</v>
      </c>
      <c r="G148" s="10"/>
      <c r="I148" s="13">
        <v>35</v>
      </c>
      <c r="J148" s="17" t="s">
        <v>250</v>
      </c>
      <c r="K148" s="15" t="s">
        <v>336</v>
      </c>
      <c r="L148" s="16" t="s">
        <v>337</v>
      </c>
      <c r="M148" s="16">
        <v>52.999999955999996</v>
      </c>
      <c r="N148" s="16">
        <v>1854.9999984599999</v>
      </c>
    </row>
    <row r="149" spans="1:15" x14ac:dyDescent="0.3">
      <c r="A149" s="2" t="s">
        <v>68</v>
      </c>
      <c r="B149" s="2" t="s">
        <v>190</v>
      </c>
      <c r="C149" s="2" t="s">
        <v>189</v>
      </c>
      <c r="D149" s="5">
        <v>46111</v>
      </c>
      <c r="E149" s="9">
        <v>10075211215</v>
      </c>
      <c r="F149" s="10" t="s">
        <v>214</v>
      </c>
      <c r="G149" s="10"/>
      <c r="I149" s="13">
        <v>35</v>
      </c>
      <c r="J149" s="17" t="s">
        <v>250</v>
      </c>
      <c r="K149" s="15" t="s">
        <v>336</v>
      </c>
      <c r="L149" s="16" t="s">
        <v>337</v>
      </c>
      <c r="M149" s="16">
        <v>52.999999999659998</v>
      </c>
      <c r="N149" s="16">
        <v>1854.9999999880999</v>
      </c>
      <c r="O149" s="23" t="s">
        <v>259</v>
      </c>
    </row>
    <row r="150" spans="1:15" x14ac:dyDescent="0.3">
      <c r="A150" s="2" t="s">
        <v>69</v>
      </c>
      <c r="B150" s="2">
        <v>1</v>
      </c>
      <c r="C150" s="2" t="s">
        <v>189</v>
      </c>
      <c r="D150" s="5">
        <v>46112</v>
      </c>
      <c r="E150" s="9">
        <v>10075211215</v>
      </c>
      <c r="F150" s="10" t="s">
        <v>214</v>
      </c>
      <c r="G150" s="10"/>
      <c r="I150" s="13">
        <v>416</v>
      </c>
      <c r="J150" s="17" t="s">
        <v>250</v>
      </c>
      <c r="K150" s="15" t="s">
        <v>334</v>
      </c>
      <c r="L150" s="16" t="s">
        <v>335</v>
      </c>
      <c r="M150" s="16">
        <v>18.341346142399999</v>
      </c>
      <c r="N150" s="16">
        <v>7629.9999952383996</v>
      </c>
    </row>
    <row r="151" spans="1:15" x14ac:dyDescent="0.3">
      <c r="A151" s="2" t="s">
        <v>69</v>
      </c>
      <c r="B151" s="2">
        <v>1</v>
      </c>
      <c r="C151" s="2" t="s">
        <v>189</v>
      </c>
      <c r="D151" s="5">
        <v>46112</v>
      </c>
      <c r="E151" s="9">
        <v>10075211215</v>
      </c>
      <c r="F151" s="10" t="s">
        <v>214</v>
      </c>
      <c r="G151" s="10"/>
      <c r="I151" s="13">
        <v>150</v>
      </c>
      <c r="J151" s="17" t="s">
        <v>250</v>
      </c>
      <c r="K151" s="15" t="s">
        <v>336</v>
      </c>
      <c r="L151" s="16" t="s">
        <v>337</v>
      </c>
      <c r="M151" s="16">
        <v>50.866666663399997</v>
      </c>
      <c r="N151" s="16">
        <v>7629.9999995099997</v>
      </c>
    </row>
    <row r="152" spans="1:15" x14ac:dyDescent="0.3">
      <c r="A152" s="2" t="s">
        <v>70</v>
      </c>
      <c r="B152" s="2">
        <v>1</v>
      </c>
      <c r="C152" s="2" t="s">
        <v>189</v>
      </c>
      <c r="D152" s="5">
        <v>46112</v>
      </c>
      <c r="E152" s="9">
        <v>20613748823</v>
      </c>
      <c r="F152" s="10" t="s">
        <v>220</v>
      </c>
      <c r="G152" s="10"/>
      <c r="I152" s="13">
        <f>+[1]!PRODUCTOS[[#This Row],[CANT.]]</f>
        <v>35</v>
      </c>
      <c r="J152" s="17" t="s">
        <v>250</v>
      </c>
      <c r="K152" s="19" t="s">
        <v>434</v>
      </c>
      <c r="L152" s="20" t="s">
        <v>435</v>
      </c>
      <c r="M152" s="16">
        <f>+[1]!PRODUCTOS[[#This Row],[PRECIO]]*18%+[1]!PRODUCTOS[[#This Row],[PRECIO]]</f>
        <v>52.999999955999996</v>
      </c>
      <c r="N152" s="16">
        <f>+[1]!PRODUCTOS[[#This Row],[PRECIOCIGV]]*[1]!PRODUCTOS[[#This Row],[CANTIDAD]]</f>
        <v>1854.9999984599999</v>
      </c>
    </row>
    <row r="153" spans="1:15" x14ac:dyDescent="0.3">
      <c r="A153" s="2" t="s">
        <v>71</v>
      </c>
      <c r="B153" s="2">
        <v>1</v>
      </c>
      <c r="C153" s="2" t="s">
        <v>189</v>
      </c>
      <c r="D153" s="5">
        <v>46112</v>
      </c>
      <c r="E153" s="9">
        <v>20611560894</v>
      </c>
      <c r="F153" s="10" t="s">
        <v>221</v>
      </c>
      <c r="G153" s="10"/>
      <c r="I153" s="13">
        <f>+[1]!PRODUCTOS[[#This Row],[CANT.]]</f>
        <v>35</v>
      </c>
      <c r="J153" s="17" t="s">
        <v>262</v>
      </c>
      <c r="K153" s="15" t="s">
        <v>436</v>
      </c>
      <c r="L153" s="16" t="s">
        <v>437</v>
      </c>
      <c r="M153" s="16">
        <f>+[1]!PRODUCTOS[[#This Row],[PRECIO]]*18%+[1]!PRODUCTOS[[#This Row],[PRECIO]]</f>
        <v>52.999999999659998</v>
      </c>
      <c r="N153" s="16">
        <f>+[1]!PRODUCTOS[[#This Row],[PRECIOCIGV]]*[1]!PRODUCTOS[[#This Row],[CANTIDAD]]</f>
        <v>1854.9999999880999</v>
      </c>
    </row>
    <row r="154" spans="1:15" x14ac:dyDescent="0.3">
      <c r="A154" s="2" t="s">
        <v>71</v>
      </c>
      <c r="B154" s="2">
        <v>1</v>
      </c>
      <c r="C154" s="2" t="s">
        <v>189</v>
      </c>
      <c r="D154" s="5">
        <v>46112</v>
      </c>
      <c r="E154" s="9">
        <v>20611560894</v>
      </c>
      <c r="F154" s="10" t="s">
        <v>221</v>
      </c>
      <c r="G154" s="10"/>
      <c r="I154" s="13">
        <f>+[1]!PRODUCTOS[[#This Row],[CANT.]]</f>
        <v>416</v>
      </c>
      <c r="J154" s="17" t="s">
        <v>262</v>
      </c>
      <c r="K154" s="19" t="s">
        <v>438</v>
      </c>
      <c r="L154" s="20" t="s">
        <v>439</v>
      </c>
      <c r="M154" s="16">
        <f>+[1]!PRODUCTOS[[#This Row],[PRECIO]]*18%+[1]!PRODUCTOS[[#This Row],[PRECIO]]</f>
        <v>18.341346142399999</v>
      </c>
      <c r="N154" s="16">
        <f>+[1]!PRODUCTOS[[#This Row],[PRECIOCIGV]]*[1]!PRODUCTOS[[#This Row],[CANTIDAD]]</f>
        <v>7629.9999952383996</v>
      </c>
    </row>
    <row r="155" spans="1:15" x14ac:dyDescent="0.3">
      <c r="A155" s="2" t="s">
        <v>71</v>
      </c>
      <c r="B155" s="2">
        <v>1</v>
      </c>
      <c r="C155" s="2" t="s">
        <v>189</v>
      </c>
      <c r="D155" s="5">
        <v>46112</v>
      </c>
      <c r="E155" s="9">
        <v>20611560894</v>
      </c>
      <c r="F155" s="10" t="s">
        <v>221</v>
      </c>
      <c r="G155" s="10"/>
      <c r="I155" s="13">
        <f>+[1]!PRODUCTOS[[#This Row],[CANT.]]/1/2</f>
        <v>75</v>
      </c>
      <c r="J155" s="17" t="s">
        <v>262</v>
      </c>
      <c r="K155" s="19" t="s">
        <v>438</v>
      </c>
      <c r="L155" s="20" t="s">
        <v>439</v>
      </c>
      <c r="M155" s="16">
        <f>+[1]!PRODUCTOS[[#This Row],[PRECIO]]*18%+[1]!PRODUCTOS[[#This Row],[PRECIO]]</f>
        <v>50.866666663399997</v>
      </c>
      <c r="N155" s="16">
        <f>+[1]!PRODUCTOS[[#This Row],[PRECIOCIGV]]*[1]!PRODUCTOS[[#This Row],[CANTIDAD]]</f>
        <v>7629.9999995099997</v>
      </c>
    </row>
    <row r="156" spans="1:15" x14ac:dyDescent="0.3">
      <c r="A156" s="2" t="s">
        <v>71</v>
      </c>
      <c r="B156" s="2">
        <v>1</v>
      </c>
      <c r="C156" s="2" t="s">
        <v>189</v>
      </c>
      <c r="D156" s="5">
        <v>46112</v>
      </c>
      <c r="E156" s="9">
        <v>20611560894</v>
      </c>
      <c r="F156" s="10" t="s">
        <v>221</v>
      </c>
      <c r="G156" s="10"/>
      <c r="I156" s="13">
        <v>6</v>
      </c>
      <c r="J156" s="17" t="s">
        <v>250</v>
      </c>
      <c r="K156" s="19" t="s">
        <v>440</v>
      </c>
      <c r="L156" s="20" t="s">
        <v>441</v>
      </c>
      <c r="M156" s="16">
        <v>13.999999905999999</v>
      </c>
      <c r="N156" s="16">
        <v>83.999999435999996</v>
      </c>
    </row>
    <row r="157" spans="1:15" x14ac:dyDescent="0.3">
      <c r="A157" s="2" t="s">
        <v>71</v>
      </c>
      <c r="B157" s="2">
        <v>1</v>
      </c>
      <c r="C157" s="2" t="s">
        <v>189</v>
      </c>
      <c r="D157" s="5">
        <v>46112</v>
      </c>
      <c r="E157" s="9">
        <v>20611560894</v>
      </c>
      <c r="F157" s="10" t="s">
        <v>221</v>
      </c>
      <c r="G157" s="10"/>
      <c r="I157" s="13">
        <v>12</v>
      </c>
      <c r="J157" s="17" t="s">
        <v>250</v>
      </c>
      <c r="K157" s="15" t="s">
        <v>442</v>
      </c>
      <c r="L157" s="16" t="s">
        <v>443</v>
      </c>
      <c r="M157" s="16">
        <v>5.9999999260000001</v>
      </c>
      <c r="N157" s="16">
        <v>71.999999111999998</v>
      </c>
    </row>
    <row r="158" spans="1:15" x14ac:dyDescent="0.3">
      <c r="A158" s="2" t="s">
        <v>72</v>
      </c>
      <c r="B158" s="2">
        <v>1</v>
      </c>
      <c r="C158" s="2" t="s">
        <v>189</v>
      </c>
      <c r="D158" s="5">
        <v>46112</v>
      </c>
      <c r="E158" s="9">
        <v>20557030191</v>
      </c>
      <c r="F158" s="10" t="s">
        <v>217</v>
      </c>
      <c r="G158" s="10"/>
      <c r="I158" s="13">
        <f>+[1]!PRODUCTOS[[#This Row],[CANT.]]</f>
        <v>25</v>
      </c>
      <c r="J158" s="17" t="s">
        <v>271</v>
      </c>
      <c r="K158" s="19" t="s">
        <v>444</v>
      </c>
      <c r="L158" s="20" t="s">
        <v>445</v>
      </c>
      <c r="M158" s="16">
        <f>+[1]!PRODUCTOS[[#This Row],[PRECIO]]*18%+[1]!PRODUCTOS[[#This Row],[PRECIO]]</f>
        <v>8.4999999640000006</v>
      </c>
      <c r="N158" s="16">
        <f>+[1]!PRODUCTOS[[#This Row],[PRECIOCIGV]]*[1]!PRODUCTOS[[#This Row],[CANTIDAD]]</f>
        <v>212.49999910000003</v>
      </c>
    </row>
    <row r="159" spans="1:15" x14ac:dyDescent="0.3">
      <c r="A159" s="2" t="s">
        <v>72</v>
      </c>
      <c r="B159" s="2">
        <v>1</v>
      </c>
      <c r="C159" s="2" t="s">
        <v>189</v>
      </c>
      <c r="D159" s="5">
        <v>46112</v>
      </c>
      <c r="E159" s="9">
        <v>20557030191</v>
      </c>
      <c r="F159" s="10" t="s">
        <v>217</v>
      </c>
      <c r="G159" s="10"/>
      <c r="I159" s="13">
        <f>+[1]!PRODUCTOS[[#This Row],[CANT.]]</f>
        <v>25</v>
      </c>
      <c r="J159" s="17" t="s">
        <v>250</v>
      </c>
      <c r="K159" s="19" t="s">
        <v>446</v>
      </c>
      <c r="L159" s="20" t="s">
        <v>447</v>
      </c>
      <c r="M159" s="16">
        <f>+[1]!PRODUCTOS[[#This Row],[PRECIO]]*18%+[1]!PRODUCTOS[[#This Row],[PRECIO]]</f>
        <v>2.1499999430000001</v>
      </c>
      <c r="N159" s="16">
        <f>+[1]!PRODUCTOS[[#This Row],[PRECIOCIGV]]*[1]!PRODUCTOS[[#This Row],[CANTIDAD]]</f>
        <v>26.8749992875</v>
      </c>
    </row>
    <row r="160" spans="1:15" x14ac:dyDescent="0.3">
      <c r="A160" s="2" t="s">
        <v>72</v>
      </c>
      <c r="B160" s="2">
        <v>1</v>
      </c>
      <c r="C160" s="2" t="s">
        <v>189</v>
      </c>
      <c r="D160" s="5">
        <v>46112</v>
      </c>
      <c r="E160" s="9">
        <v>20557030191</v>
      </c>
      <c r="F160" s="10" t="s">
        <v>217</v>
      </c>
      <c r="G160" s="10"/>
      <c r="I160" s="13">
        <f>+[1]!PRODUCTOS[[#This Row],[CANT.]]</f>
        <v>6</v>
      </c>
      <c r="J160" s="17"/>
      <c r="K160" s="19" t="s">
        <v>448</v>
      </c>
      <c r="L160" s="20" t="s">
        <v>449</v>
      </c>
      <c r="M160" s="16">
        <f>+[1]!PRODUCTOS[[#This Row],[PRECIO]]*18%+[1]!PRODUCTOS[[#This Row],[PRECIO]]</f>
        <v>13.999999905999999</v>
      </c>
      <c r="N160" s="16">
        <f>+[1]!PRODUCTOS[[#This Row],[PRECIOCIGV]]*[1]!PRODUCTOS[[#This Row],[CANTIDAD]]</f>
        <v>83.999999435999996</v>
      </c>
    </row>
    <row r="161" spans="1:14" x14ac:dyDescent="0.3">
      <c r="A161" s="2" t="s">
        <v>72</v>
      </c>
      <c r="B161" s="2">
        <v>1</v>
      </c>
      <c r="C161" s="2" t="s">
        <v>189</v>
      </c>
      <c r="D161" s="5">
        <v>46112</v>
      </c>
      <c r="E161" s="9">
        <v>20557030191</v>
      </c>
      <c r="F161" s="10" t="s">
        <v>217</v>
      </c>
      <c r="G161" s="10"/>
      <c r="I161" s="13">
        <f>+[1]!PRODUCTOS[[#This Row],[CANT.]]</f>
        <v>12</v>
      </c>
      <c r="J161" s="17"/>
      <c r="K161" s="19" t="s">
        <v>272</v>
      </c>
      <c r="L161" s="20" t="s">
        <v>273</v>
      </c>
      <c r="M161" s="16">
        <f>+[1]!PRODUCTOS[[#This Row],[PRECIO]]*18%+[1]!PRODUCTOS[[#This Row],[PRECIO]]</f>
        <v>5.9999999260000001</v>
      </c>
      <c r="N161" s="16">
        <f>+[1]!PRODUCTOS[[#This Row],[PRECIOCIGV]]*[1]!PRODUCTOS[[#This Row],[CANTIDAD]]</f>
        <v>71.999999111999998</v>
      </c>
    </row>
    <row r="162" spans="1:14" x14ac:dyDescent="0.3">
      <c r="A162" s="2" t="s">
        <v>73</v>
      </c>
      <c r="B162" s="2">
        <v>1</v>
      </c>
      <c r="C162" s="2" t="s">
        <v>189</v>
      </c>
      <c r="D162" s="5">
        <v>46112</v>
      </c>
      <c r="E162" s="9">
        <v>20613645153</v>
      </c>
      <c r="F162" s="10" t="s">
        <v>222</v>
      </c>
      <c r="G162" s="10"/>
      <c r="I162" s="13">
        <f>+[1]!PRODUCTOS[[#This Row],[CANT.]]</f>
        <v>10</v>
      </c>
      <c r="J162" s="17" t="s">
        <v>250</v>
      </c>
      <c r="K162" s="15" t="s">
        <v>450</v>
      </c>
      <c r="L162" s="16" t="s">
        <v>451</v>
      </c>
      <c r="M162" s="16">
        <f>+[1]!PRODUCTOS[[#This Row],[PRECIO]]*18%+[1]!PRODUCTOS[[#This Row],[PRECIO]]</f>
        <v>45.16999998</v>
      </c>
      <c r="N162" s="16">
        <f>+[1]!PRODUCTOS[[#This Row],[PRECIOCIGV]]*[1]!PRODUCTOS[[#This Row],[CANTIDAD]]</f>
        <v>451.6999998</v>
      </c>
    </row>
    <row r="163" spans="1:14" x14ac:dyDescent="0.3">
      <c r="A163" s="2" t="s">
        <v>73</v>
      </c>
      <c r="B163" s="2">
        <v>1</v>
      </c>
      <c r="C163" s="2" t="s">
        <v>189</v>
      </c>
      <c r="D163" s="5">
        <v>46112</v>
      </c>
      <c r="E163" s="9">
        <v>20613645153</v>
      </c>
      <c r="F163" s="10" t="s">
        <v>222</v>
      </c>
      <c r="G163" s="10"/>
      <c r="I163" s="13">
        <f>+[1]!PRODUCTOS[[#This Row],[CANT.]]</f>
        <v>25</v>
      </c>
      <c r="J163" s="17" t="s">
        <v>250</v>
      </c>
      <c r="K163" s="19" t="s">
        <v>452</v>
      </c>
      <c r="L163" s="20" t="s">
        <v>453</v>
      </c>
      <c r="M163" s="16">
        <f>+[1]!PRODUCTOS[[#This Row],[PRECIO]]*18%+[1]!PRODUCTOS[[#This Row],[PRECIO]]</f>
        <v>26.750000560000004</v>
      </c>
      <c r="N163" s="16">
        <f>+[1]!PRODUCTOS[[#This Row],[PRECIOCIGV]]*[1]!PRODUCTOS[[#This Row],[CANTIDAD]]</f>
        <v>668.75001400000008</v>
      </c>
    </row>
    <row r="164" spans="1:14" x14ac:dyDescent="0.3">
      <c r="A164" s="2" t="s">
        <v>74</v>
      </c>
      <c r="B164" s="2">
        <v>1</v>
      </c>
      <c r="C164" s="2" t="s">
        <v>189</v>
      </c>
      <c r="D164" s="5">
        <v>46112</v>
      </c>
      <c r="E164" s="9">
        <v>20613553488</v>
      </c>
      <c r="F164" s="10" t="s">
        <v>197</v>
      </c>
      <c r="G164" s="10"/>
      <c r="I164" s="13">
        <f>+[1]!PRODUCTOS[[#This Row],[CANT.]]*1000</f>
        <v>25000</v>
      </c>
      <c r="J164" s="17" t="s">
        <v>250</v>
      </c>
      <c r="K164" s="19" t="s">
        <v>351</v>
      </c>
      <c r="L164" s="20" t="s">
        <v>352</v>
      </c>
      <c r="M164" s="16">
        <f>+[1]!PRODUCTOS[[#This Row],[PRECIO]]*18%+[1]!PRODUCTOS[[#This Row],[PRECIO]]</f>
        <v>20.5400004</v>
      </c>
      <c r="N164" s="16">
        <f>+[1]!PRODUCTOS[[#This Row],[PRECIOCIGV]]*[1]!PRODUCTOS[[#This Row],[CANTIDAD]]</f>
        <v>513.50000999999997</v>
      </c>
    </row>
    <row r="165" spans="1:14" x14ac:dyDescent="0.3">
      <c r="A165" s="2" t="s">
        <v>75</v>
      </c>
      <c r="B165" s="2">
        <v>1</v>
      </c>
      <c r="C165" s="2" t="s">
        <v>189</v>
      </c>
      <c r="D165" s="5">
        <v>46112</v>
      </c>
      <c r="E165" s="9">
        <v>10454596523</v>
      </c>
      <c r="F165" s="10" t="s">
        <v>223</v>
      </c>
      <c r="G165" s="10"/>
      <c r="I165" s="13">
        <f>+[1]!PRODUCTOS[[#This Row],[CANT.]]</f>
        <v>25</v>
      </c>
      <c r="J165" s="17" t="s">
        <v>250</v>
      </c>
      <c r="K165" s="19" t="s">
        <v>454</v>
      </c>
      <c r="L165" s="20" t="s">
        <v>455</v>
      </c>
      <c r="M165" s="16">
        <f>+[1]!PRODUCTOS[[#This Row],[PRECIO]]*18%+[1]!PRODUCTOS[[#This Row],[PRECIO]]</f>
        <v>19.78000016</v>
      </c>
      <c r="N165" s="16">
        <f>+[1]!PRODUCTOS[[#This Row],[PRECIOCIGV]]*[1]!PRODUCTOS[[#This Row],[CANTIDAD]]</f>
        <v>494.50000399999999</v>
      </c>
    </row>
    <row r="166" spans="1:14" x14ac:dyDescent="0.3">
      <c r="A166" s="2" t="s">
        <v>75</v>
      </c>
      <c r="B166" s="2">
        <v>1</v>
      </c>
      <c r="C166" s="2" t="s">
        <v>189</v>
      </c>
      <c r="D166" s="5">
        <v>46112</v>
      </c>
      <c r="E166" s="9">
        <v>10454596523</v>
      </c>
      <c r="F166" s="10" t="s">
        <v>223</v>
      </c>
      <c r="G166" s="10"/>
      <c r="I166" s="13">
        <f>+[1]!PRODUCTOS[[#This Row],[CANT.]]</f>
        <v>15</v>
      </c>
      <c r="J166" s="17" t="s">
        <v>250</v>
      </c>
      <c r="K166" s="19" t="s">
        <v>456</v>
      </c>
      <c r="L166" s="20" t="s">
        <v>457</v>
      </c>
      <c r="M166" s="16">
        <f>+[1]!PRODUCTOS[[#This Row],[PRECIO]]*18%+[1]!PRODUCTOS[[#This Row],[PRECIO]]</f>
        <v>24.999952</v>
      </c>
      <c r="N166" s="16">
        <f>+[1]!PRODUCTOS[[#This Row],[PRECIOCIGV]]*[1]!PRODUCTOS[[#This Row],[CANTIDAD]]</f>
        <v>374.99928</v>
      </c>
    </row>
    <row r="167" spans="1:14" x14ac:dyDescent="0.3">
      <c r="A167" s="2" t="s">
        <v>76</v>
      </c>
      <c r="B167" s="2">
        <v>1</v>
      </c>
      <c r="C167" s="2" t="s">
        <v>189</v>
      </c>
      <c r="D167" s="5">
        <v>46113</v>
      </c>
      <c r="E167" s="9">
        <v>10435078937</v>
      </c>
      <c r="F167" s="10" t="s">
        <v>206</v>
      </c>
      <c r="G167" s="10"/>
      <c r="I167" s="13">
        <f>+[1]!PRODUCTOS[[#This Row],[CANT.]]</f>
        <v>15</v>
      </c>
      <c r="J167" s="17" t="s">
        <v>250</v>
      </c>
      <c r="K167" s="19" t="s">
        <v>458</v>
      </c>
      <c r="L167" s="20" t="s">
        <v>459</v>
      </c>
      <c r="M167" s="16">
        <f>+[1]!PRODUCTOS[[#This Row],[PRECIO]]*18%+[1]!PRODUCTOS[[#This Row],[PRECIO]]</f>
        <v>17.999956000000001</v>
      </c>
      <c r="N167" s="16">
        <f>+[1]!PRODUCTOS[[#This Row],[PRECIOCIGV]]*[1]!PRODUCTOS[[#This Row],[CANTIDAD]]</f>
        <v>269.99934000000002</v>
      </c>
    </row>
    <row r="168" spans="1:14" x14ac:dyDescent="0.3">
      <c r="A168" s="2" t="s">
        <v>76</v>
      </c>
      <c r="B168" s="2">
        <v>1</v>
      </c>
      <c r="C168" s="2" t="s">
        <v>189</v>
      </c>
      <c r="D168" s="5">
        <v>46113</v>
      </c>
      <c r="E168" s="9">
        <v>10435078937</v>
      </c>
      <c r="F168" s="10" t="s">
        <v>206</v>
      </c>
      <c r="G168" s="10"/>
      <c r="I168" s="13">
        <f>+[1]!PRODUCTOS[[#This Row],[CANT.]]</f>
        <v>6</v>
      </c>
      <c r="J168" s="17" t="s">
        <v>250</v>
      </c>
      <c r="K168" s="19" t="s">
        <v>460</v>
      </c>
      <c r="L168" s="20" t="s">
        <v>461</v>
      </c>
      <c r="M168" s="16">
        <f>+[1]!PRODUCTOS[[#This Row],[PRECIO]]*18%+[1]!PRODUCTOS[[#This Row],[PRECIO]]</f>
        <v>0.67999977999999994</v>
      </c>
      <c r="N168" s="16">
        <f>+[1]!PRODUCTOS[[#This Row],[PRECIOCIGV]]*[1]!PRODUCTOS[[#This Row],[CANTIDAD]]</f>
        <v>4079.9986799999997</v>
      </c>
    </row>
    <row r="169" spans="1:14" x14ac:dyDescent="0.3">
      <c r="A169" s="2" t="s">
        <v>76</v>
      </c>
      <c r="B169" s="2">
        <v>1</v>
      </c>
      <c r="C169" s="2" t="s">
        <v>189</v>
      </c>
      <c r="D169" s="5">
        <v>46113</v>
      </c>
      <c r="E169" s="9">
        <v>10435078937</v>
      </c>
      <c r="F169" s="10" t="s">
        <v>206</v>
      </c>
      <c r="G169" s="10"/>
      <c r="I169" s="13">
        <v>100</v>
      </c>
      <c r="J169" s="17" t="s">
        <v>250</v>
      </c>
      <c r="K169" s="15" t="s">
        <v>462</v>
      </c>
      <c r="L169" s="16" t="s">
        <v>463</v>
      </c>
      <c r="M169" s="16">
        <f>+[1]!PRODUCTOS[[#This Row],[PRECIO]]*18%+[1]!PRODUCTOS[[#This Row],[PRECIO]]</f>
        <v>4.49999999996</v>
      </c>
      <c r="N169" s="16">
        <f>+[1]!PRODUCTOS[[#This Row],[PRECIOCIGV]]*[1]!PRODUCTOS[[#This Row],[CANTIDAD]]</f>
        <v>107.99999999904</v>
      </c>
    </row>
    <row r="170" spans="1:14" x14ac:dyDescent="0.3">
      <c r="A170" s="2" t="s">
        <v>76</v>
      </c>
      <c r="B170" s="2">
        <v>1</v>
      </c>
      <c r="C170" s="2" t="s">
        <v>189</v>
      </c>
      <c r="D170" s="5">
        <v>46113</v>
      </c>
      <c r="E170" s="9">
        <v>10435078937</v>
      </c>
      <c r="F170" s="10" t="s">
        <v>206</v>
      </c>
      <c r="G170" s="10"/>
      <c r="I170" s="13">
        <v>100</v>
      </c>
      <c r="J170" s="17" t="s">
        <v>250</v>
      </c>
      <c r="K170" s="15" t="s">
        <v>464</v>
      </c>
      <c r="L170" s="16" t="s">
        <v>465</v>
      </c>
      <c r="M170" s="16">
        <f>+[1]!PRODUCTOS[[#This Row],[PRECIO]]*18%+[1]!PRODUCTOS[[#This Row],[PRECIO]]</f>
        <v>3.9000000000439998</v>
      </c>
      <c r="N170" s="16">
        <f>+[1]!PRODUCTOS[[#This Row],[PRECIOCIGV]]*[1]!PRODUCTOS[[#This Row],[CANTIDAD]]</f>
        <v>585.00000000659998</v>
      </c>
    </row>
    <row r="171" spans="1:14" x14ac:dyDescent="0.3">
      <c r="A171" s="2" t="s">
        <v>76</v>
      </c>
      <c r="B171" s="2">
        <v>1</v>
      </c>
      <c r="C171" s="2" t="s">
        <v>189</v>
      </c>
      <c r="D171" s="5">
        <v>46113</v>
      </c>
      <c r="E171" s="9">
        <v>10435078937</v>
      </c>
      <c r="F171" s="10" t="s">
        <v>206</v>
      </c>
      <c r="G171" s="10"/>
      <c r="I171" s="13">
        <v>6</v>
      </c>
      <c r="J171" s="17" t="s">
        <v>250</v>
      </c>
      <c r="K171" s="19" t="s">
        <v>466</v>
      </c>
      <c r="L171" s="20" t="s">
        <v>467</v>
      </c>
      <c r="M171" s="16">
        <v>6.997399999999999</v>
      </c>
      <c r="N171" s="16">
        <v>41.984399999999994</v>
      </c>
    </row>
    <row r="172" spans="1:14" x14ac:dyDescent="0.3">
      <c r="A172" s="2" t="s">
        <v>76</v>
      </c>
      <c r="B172" s="2">
        <v>1</v>
      </c>
      <c r="C172" s="2" t="s">
        <v>189</v>
      </c>
      <c r="D172" s="5">
        <v>46113</v>
      </c>
      <c r="E172" s="9">
        <v>10435078937</v>
      </c>
      <c r="F172" s="10" t="s">
        <v>206</v>
      </c>
      <c r="G172" s="10"/>
      <c r="I172" s="13">
        <f>+[1]!PRODUCTOS[[#This Row],[CANT.]]</f>
        <v>10</v>
      </c>
      <c r="J172" s="17" t="s">
        <v>250</v>
      </c>
      <c r="K172" s="19" t="s">
        <v>468</v>
      </c>
      <c r="L172" s="20" t="s">
        <v>469</v>
      </c>
      <c r="M172" s="16">
        <f>+[1]!PRODUCTOS[[#This Row],[PRECIO]]*18%+[1]!PRODUCTOS[[#This Row],[PRECIO]]</f>
        <v>7.9885999999999999</v>
      </c>
      <c r="N172" s="16">
        <f>+[1]!PRODUCTOS[[#This Row],[PRECIOCIGV]]*[1]!PRODUCTOS[[#This Row],[CANTIDAD]]</f>
        <v>79.885999999999996</v>
      </c>
    </row>
    <row r="173" spans="1:14" x14ac:dyDescent="0.3">
      <c r="A173" s="2" t="s">
        <v>76</v>
      </c>
      <c r="B173" s="2">
        <v>1</v>
      </c>
      <c r="C173" s="2" t="s">
        <v>189</v>
      </c>
      <c r="D173" s="5">
        <v>46113</v>
      </c>
      <c r="E173" s="9">
        <v>10435078937</v>
      </c>
      <c r="F173" s="10" t="s">
        <v>206</v>
      </c>
      <c r="G173" s="10"/>
      <c r="I173" s="13">
        <v>100</v>
      </c>
      <c r="J173" s="17" t="s">
        <v>250</v>
      </c>
      <c r="K173" s="15" t="s">
        <v>470</v>
      </c>
      <c r="L173" s="16" t="s">
        <v>471</v>
      </c>
      <c r="M173" s="16">
        <f>+[1]!PRODUCTOS[[#This Row],[PRECIO]]*18%+[1]!PRODUCTOS[[#This Row],[PRECIO]]</f>
        <v>3.4499660000000003</v>
      </c>
      <c r="N173" s="16">
        <f>+[1]!PRODUCTOS[[#This Row],[PRECIOCIGV]]*[1]!PRODUCTOS[[#This Row],[CANTIDAD]]</f>
        <v>344.99660000000006</v>
      </c>
    </row>
    <row r="174" spans="1:14" x14ac:dyDescent="0.3">
      <c r="A174" s="2" t="s">
        <v>76</v>
      </c>
      <c r="B174" s="2">
        <v>1</v>
      </c>
      <c r="C174" s="2" t="s">
        <v>189</v>
      </c>
      <c r="D174" s="5">
        <v>46113</v>
      </c>
      <c r="E174" s="9">
        <v>10435078937</v>
      </c>
      <c r="F174" s="10" t="s">
        <v>206</v>
      </c>
      <c r="G174" s="10"/>
      <c r="I174" s="13">
        <f>+[1]!PRODUCTOS[[#This Row],[CANT.]]*10</f>
        <v>10</v>
      </c>
      <c r="J174" s="17" t="s">
        <v>472</v>
      </c>
      <c r="K174" s="19" t="s">
        <v>473</v>
      </c>
      <c r="L174" s="20" t="s">
        <v>474</v>
      </c>
      <c r="M174" s="16">
        <f>+[1]!PRODUCTOS[[#This Row],[PRECIO]]*18%+[1]!PRODUCTOS[[#This Row],[PRECIO]]</f>
        <v>1.5999620000000001</v>
      </c>
      <c r="N174" s="16">
        <f>+[1]!PRODUCTOS[[#This Row],[PRECIOCIGV]]*[1]!PRODUCTOS[[#This Row],[CANTIDAD]]</f>
        <v>159.99620000000002</v>
      </c>
    </row>
    <row r="175" spans="1:14" x14ac:dyDescent="0.3">
      <c r="A175" s="2" t="s">
        <v>76</v>
      </c>
      <c r="B175" s="2">
        <v>1</v>
      </c>
      <c r="C175" s="2" t="s">
        <v>189</v>
      </c>
      <c r="D175" s="5">
        <v>46113</v>
      </c>
      <c r="E175" s="9">
        <v>10435078937</v>
      </c>
      <c r="F175" s="10" t="s">
        <v>206</v>
      </c>
      <c r="G175" s="10"/>
      <c r="I175" s="13">
        <f>+[1]!PRODUCTOS[[#This Row],[CANT.]]*10</f>
        <v>60</v>
      </c>
      <c r="J175" s="17" t="s">
        <v>472</v>
      </c>
      <c r="K175" s="19" t="s">
        <v>475</v>
      </c>
      <c r="L175" s="20" t="s">
        <v>476</v>
      </c>
      <c r="M175" s="16">
        <f>+[1]!PRODUCTOS[[#This Row],[PRECIO]]*18%+[1]!PRODUCTOS[[#This Row],[PRECIO]]</f>
        <v>6.9973999999999998</v>
      </c>
      <c r="N175" s="16">
        <f>+[1]!PRODUCTOS[[#This Row],[PRECIOCIGV]]*[1]!PRODUCTOS[[#This Row],[CANTIDAD]]</f>
        <v>41.984399999999994</v>
      </c>
    </row>
    <row r="176" spans="1:14" x14ac:dyDescent="0.3">
      <c r="A176" s="2" t="s">
        <v>76</v>
      </c>
      <c r="B176" s="2">
        <v>1</v>
      </c>
      <c r="C176" s="2" t="s">
        <v>189</v>
      </c>
      <c r="D176" s="5">
        <v>46113</v>
      </c>
      <c r="E176" s="9">
        <v>10435078937</v>
      </c>
      <c r="F176" s="10" t="s">
        <v>206</v>
      </c>
      <c r="G176" s="10"/>
      <c r="I176" s="13">
        <f>+[1]!PRODUCTOS[[#This Row],[CANT.]]*10</f>
        <v>60</v>
      </c>
      <c r="J176" s="17" t="s">
        <v>472</v>
      </c>
      <c r="K176" s="19" t="s">
        <v>475</v>
      </c>
      <c r="L176" s="20" t="s">
        <v>476</v>
      </c>
      <c r="M176" s="16">
        <f>+[1]!PRODUCTOS[[#This Row],[PRECIO]]*18%+[1]!PRODUCTOS[[#This Row],[PRECIO]]</f>
        <v>10.9976</v>
      </c>
      <c r="N176" s="16">
        <f>+[1]!PRODUCTOS[[#This Row],[PRECIOCIGV]]*[1]!PRODUCTOS[[#This Row],[CANTIDAD]]</f>
        <v>65.985600000000005</v>
      </c>
    </row>
    <row r="177" spans="1:15" x14ac:dyDescent="0.3">
      <c r="A177" s="2" t="s">
        <v>77</v>
      </c>
      <c r="B177" s="2">
        <v>1</v>
      </c>
      <c r="C177" s="2" t="s">
        <v>189</v>
      </c>
      <c r="D177" s="5">
        <v>46113</v>
      </c>
      <c r="E177" s="9">
        <v>10435078937</v>
      </c>
      <c r="F177" s="10" t="s">
        <v>206</v>
      </c>
      <c r="G177" s="10"/>
      <c r="I177" s="13">
        <f>+[1]!PRODUCTOS[[#This Row],[CANT.]]*10</f>
        <v>10</v>
      </c>
      <c r="J177" s="17" t="s">
        <v>472</v>
      </c>
      <c r="K177" s="19" t="s">
        <v>477</v>
      </c>
      <c r="L177" s="20" t="s">
        <v>478</v>
      </c>
      <c r="M177" s="16">
        <f>+[1]!PRODUCTOS[[#This Row],[PRECIO]]*18%+[1]!PRODUCTOS[[#This Row],[PRECIO]]</f>
        <v>1.9499500000000001</v>
      </c>
      <c r="N177" s="16">
        <f>+[1]!PRODUCTOS[[#This Row],[PRECIOCIGV]]*[1]!PRODUCTOS[[#This Row],[CANTIDAD]]</f>
        <v>194.995</v>
      </c>
    </row>
    <row r="178" spans="1:15" x14ac:dyDescent="0.3">
      <c r="A178" s="2" t="s">
        <v>77</v>
      </c>
      <c r="B178" s="2">
        <v>1</v>
      </c>
      <c r="C178" s="2" t="s">
        <v>189</v>
      </c>
      <c r="D178" s="5">
        <v>46113</v>
      </c>
      <c r="E178" s="9">
        <v>10435078937</v>
      </c>
      <c r="F178" s="10" t="s">
        <v>206</v>
      </c>
      <c r="G178" s="10"/>
      <c r="I178" s="13">
        <f>+[1]!PRODUCTOS[[#This Row],[CANT.]]*10</f>
        <v>20</v>
      </c>
      <c r="J178" s="17" t="s">
        <v>472</v>
      </c>
      <c r="K178" s="19" t="s">
        <v>479</v>
      </c>
      <c r="L178" s="20" t="s">
        <v>480</v>
      </c>
      <c r="M178" s="16">
        <f>+[1]!PRODUCTOS[[#This Row],[PRECIO]]*18%+[1]!PRODUCTOS[[#This Row],[PRECIO]]</f>
        <v>1.9989200000000003</v>
      </c>
      <c r="N178" s="16">
        <f>+[1]!PRODUCTOS[[#This Row],[PRECIOCIGV]]*[1]!PRODUCTOS[[#This Row],[CANTIDAD]]</f>
        <v>39.978400000000008</v>
      </c>
    </row>
    <row r="179" spans="1:15" x14ac:dyDescent="0.3">
      <c r="A179" s="2" t="s">
        <v>77</v>
      </c>
      <c r="B179" s="2">
        <v>1</v>
      </c>
      <c r="C179" s="2" t="s">
        <v>189</v>
      </c>
      <c r="D179" s="5">
        <v>46113</v>
      </c>
      <c r="E179" s="9">
        <v>10435078937</v>
      </c>
      <c r="F179" s="10" t="s">
        <v>206</v>
      </c>
      <c r="G179" s="10"/>
      <c r="I179" s="13">
        <f>+[1]!PRODUCTOS[[#This Row],[CANT.]]*10</f>
        <v>20</v>
      </c>
      <c r="J179" s="17" t="s">
        <v>472</v>
      </c>
      <c r="K179" s="19" t="s">
        <v>481</v>
      </c>
      <c r="L179" s="20" t="s">
        <v>482</v>
      </c>
      <c r="M179" s="16">
        <f>+[1]!PRODUCTOS[[#This Row],[PRECIO]]*18%+[1]!PRODUCTOS[[#This Row],[PRECIO]]</f>
        <v>1.0997600000000001</v>
      </c>
      <c r="N179" s="16">
        <f>+[1]!PRODUCTOS[[#This Row],[PRECIOCIGV]]*[1]!PRODUCTOS[[#This Row],[CANTIDAD]]</f>
        <v>21.995200000000001</v>
      </c>
    </row>
    <row r="180" spans="1:15" x14ac:dyDescent="0.3">
      <c r="A180" s="2" t="s">
        <v>78</v>
      </c>
      <c r="B180" s="2">
        <v>1</v>
      </c>
      <c r="C180" s="2" t="s">
        <v>189</v>
      </c>
      <c r="D180" s="5">
        <v>46113</v>
      </c>
      <c r="E180" s="9">
        <v>20614322986</v>
      </c>
      <c r="F180" s="10" t="s">
        <v>205</v>
      </c>
      <c r="G180" s="10"/>
      <c r="I180" s="13">
        <f>+[1]!PRODUCTOS[[#This Row],[CANT.]]</f>
        <v>2</v>
      </c>
      <c r="J180" s="17" t="s">
        <v>250</v>
      </c>
      <c r="K180" s="19" t="s">
        <v>483</v>
      </c>
      <c r="L180" s="20" t="s">
        <v>484</v>
      </c>
      <c r="M180" s="16">
        <f>+[1]!PRODUCTOS[[#This Row],[PRECIO]]*18%+[1]!PRODUCTOS[[#This Row],[PRECIO]]</f>
        <v>1.5989</v>
      </c>
      <c r="N180" s="16">
        <f>+[1]!PRODUCTOS[[#This Row],[PRECIOCIGV]]*[1]!PRODUCTOS[[#This Row],[CANTIDAD]]</f>
        <v>31.978000000000002</v>
      </c>
    </row>
    <row r="181" spans="1:15" x14ac:dyDescent="0.3">
      <c r="A181" s="2" t="s">
        <v>78</v>
      </c>
      <c r="B181" s="2">
        <v>1</v>
      </c>
      <c r="C181" s="2" t="s">
        <v>189</v>
      </c>
      <c r="D181" s="5">
        <v>46113</v>
      </c>
      <c r="E181" s="9">
        <v>20614322986</v>
      </c>
      <c r="F181" s="10" t="s">
        <v>205</v>
      </c>
      <c r="G181" s="10"/>
      <c r="I181" s="13">
        <f>+[1]!PRODUCTOS[[#This Row],[CANT.]]</f>
        <v>2</v>
      </c>
      <c r="J181" s="17" t="s">
        <v>250</v>
      </c>
      <c r="K181" s="19" t="s">
        <v>485</v>
      </c>
      <c r="L181" s="20" t="s">
        <v>486</v>
      </c>
      <c r="M181" s="16">
        <f>+[1]!PRODUCTOS[[#This Row],[PRECIO]]*18%+[1]!PRODUCTOS[[#This Row],[PRECIO]]</f>
        <v>1.7994999999999999</v>
      </c>
      <c r="N181" s="16">
        <f>+[1]!PRODUCTOS[[#This Row],[PRECIOCIGV]]*[1]!PRODUCTOS[[#This Row],[CANTIDAD]]</f>
        <v>35.989999999999995</v>
      </c>
    </row>
    <row r="182" spans="1:15" x14ac:dyDescent="0.3">
      <c r="A182" s="2" t="s">
        <v>78</v>
      </c>
      <c r="B182" s="2">
        <v>1</v>
      </c>
      <c r="C182" s="2" t="s">
        <v>189</v>
      </c>
      <c r="D182" s="5">
        <v>46113</v>
      </c>
      <c r="E182" s="9">
        <v>20614322986</v>
      </c>
      <c r="F182" s="10" t="s">
        <v>205</v>
      </c>
      <c r="G182" s="10"/>
      <c r="I182" s="13">
        <f>+[1]!PRODUCTOS[[#This Row],[CANT.]]</f>
        <v>2</v>
      </c>
      <c r="J182" s="19" t="s">
        <v>250</v>
      </c>
      <c r="K182" s="19" t="s">
        <v>485</v>
      </c>
      <c r="L182" s="20" t="s">
        <v>486</v>
      </c>
      <c r="M182" s="16">
        <f>+[1]!PRODUCTOS[[#This Row],[PRECIO]]*18%+[1]!PRODUCTOS[[#This Row],[PRECIO]]</f>
        <v>2.9995600000000002</v>
      </c>
      <c r="N182" s="16">
        <f>+[1]!PRODUCTOS[[#This Row],[PRECIOCIGV]]*[1]!PRODUCTOS[[#This Row],[CANTIDAD]]</f>
        <v>59.991200000000006</v>
      </c>
    </row>
    <row r="183" spans="1:15" x14ac:dyDescent="0.3">
      <c r="A183" s="2" t="s">
        <v>78</v>
      </c>
      <c r="B183" s="2">
        <v>1</v>
      </c>
      <c r="C183" s="2" t="s">
        <v>189</v>
      </c>
      <c r="D183" s="5">
        <v>46113</v>
      </c>
      <c r="E183" s="9">
        <v>20614322986</v>
      </c>
      <c r="F183" s="10" t="s">
        <v>205</v>
      </c>
      <c r="G183" s="10"/>
      <c r="I183" s="13">
        <f>+[1]!PRODUCTOS[[#This Row],[CANT.]]</f>
        <v>4</v>
      </c>
      <c r="J183" s="19" t="s">
        <v>250</v>
      </c>
      <c r="K183" s="19" t="s">
        <v>485</v>
      </c>
      <c r="L183" s="20" t="s">
        <v>486</v>
      </c>
      <c r="M183" s="16">
        <f>+[1]!PRODUCTOS[[#This Row],[PRECIO]]*18%+[1]!PRODUCTOS[[#This Row],[PRECIO]]</f>
        <v>2.5995400000000002</v>
      </c>
      <c r="N183" s="16">
        <f>+[1]!PRODUCTOS[[#This Row],[PRECIOCIGV]]*[1]!PRODUCTOS[[#This Row],[CANTIDAD]]</f>
        <v>103.98160000000001</v>
      </c>
    </row>
    <row r="184" spans="1:15" x14ac:dyDescent="0.3">
      <c r="A184" s="2" t="s">
        <v>79</v>
      </c>
      <c r="B184" s="2">
        <v>1</v>
      </c>
      <c r="C184" s="2" t="s">
        <v>189</v>
      </c>
      <c r="D184" s="5">
        <v>46114</v>
      </c>
      <c r="E184" s="9">
        <v>20613553488</v>
      </c>
      <c r="F184" s="10" t="s">
        <v>197</v>
      </c>
      <c r="G184" s="10"/>
      <c r="I184" s="13">
        <v>5500</v>
      </c>
      <c r="J184" s="13" t="s">
        <v>250</v>
      </c>
      <c r="K184" s="15" t="s">
        <v>251</v>
      </c>
      <c r="L184" s="16" t="s">
        <v>252</v>
      </c>
      <c r="M184" s="16">
        <v>0.779999942</v>
      </c>
      <c r="N184" s="16">
        <v>4289.9996810000002</v>
      </c>
    </row>
    <row r="185" spans="1:15" x14ac:dyDescent="0.3">
      <c r="A185" s="2" t="s">
        <v>80</v>
      </c>
      <c r="B185" s="2">
        <v>1</v>
      </c>
      <c r="C185" s="2" t="s">
        <v>189</v>
      </c>
      <c r="D185" s="5">
        <v>46116</v>
      </c>
      <c r="E185" s="9">
        <v>20608312260</v>
      </c>
      <c r="F185" s="10" t="s">
        <v>224</v>
      </c>
      <c r="G185" s="10"/>
      <c r="I185" s="13">
        <f>+[1]!PRODUCTOS[[#This Row],[CANT.]]</f>
        <v>1</v>
      </c>
      <c r="J185" s="17"/>
      <c r="K185" s="19" t="s">
        <v>487</v>
      </c>
      <c r="L185" s="20" t="s">
        <v>488</v>
      </c>
      <c r="M185" s="16">
        <f>+[1]!PRODUCTOS[[#This Row],[PRECIO]]*18%+[1]!PRODUCTOS[[#This Row],[PRECIO]]</f>
        <v>16.000000000002</v>
      </c>
      <c r="N185" s="16">
        <f>+[1]!PRODUCTOS[[#This Row],[PRECIOCIGV]]*[1]!PRODUCTOS[[#This Row],[CANTIDAD]]</f>
        <v>16.000000000002</v>
      </c>
    </row>
    <row r="186" spans="1:15" x14ac:dyDescent="0.3">
      <c r="A186" s="2" t="s">
        <v>81</v>
      </c>
      <c r="B186" s="2">
        <v>1</v>
      </c>
      <c r="C186" s="2" t="s">
        <v>189</v>
      </c>
      <c r="D186" s="5">
        <v>46118</v>
      </c>
      <c r="E186" s="9">
        <v>20613553488</v>
      </c>
      <c r="F186" s="10" t="s">
        <v>197</v>
      </c>
      <c r="G186" s="10"/>
      <c r="I186" s="13">
        <f>+[1]!PRODUCTOS[[#This Row],[CANT.]]*1000</f>
        <v>12000</v>
      </c>
      <c r="J186" s="17" t="s">
        <v>250</v>
      </c>
      <c r="K186" s="19" t="s">
        <v>351</v>
      </c>
      <c r="L186" s="20" t="s">
        <v>352</v>
      </c>
      <c r="M186" s="16">
        <f>+[1]!PRODUCTOS[[#This Row],[PRECIO]]*18%+[1]!PRODUCTOS[[#This Row],[PRECIO]]</f>
        <v>3.216659999944</v>
      </c>
      <c r="N186" s="16">
        <f>+[1]!PRODUCTOS[[#This Row],[PRECIOCIGV]]*[1]!PRODUCTOS[[#This Row],[CANTIDAD]]</f>
        <v>38.599919999328002</v>
      </c>
    </row>
    <row r="187" spans="1:15" x14ac:dyDescent="0.3">
      <c r="A187" s="2" t="s">
        <v>82</v>
      </c>
      <c r="B187" s="2">
        <v>1</v>
      </c>
      <c r="C187" s="2" t="s">
        <v>189</v>
      </c>
      <c r="D187" s="5">
        <v>46119</v>
      </c>
      <c r="E187" s="9">
        <v>20545134293</v>
      </c>
      <c r="F187" s="10" t="s">
        <v>225</v>
      </c>
      <c r="G187" s="10"/>
      <c r="I187" s="13">
        <f>+[1]!PRODUCTOS[[#This Row],[CANT.]]*1000</f>
        <v>12000</v>
      </c>
      <c r="J187" s="17" t="s">
        <v>250</v>
      </c>
      <c r="K187" s="19" t="s">
        <v>351</v>
      </c>
      <c r="L187" s="20" t="s">
        <v>352</v>
      </c>
      <c r="M187" s="16">
        <f>+[1]!PRODUCTOS[[#This Row],[PRECIO]]*18%+[1]!PRODUCTOS[[#This Row],[PRECIO]]</f>
        <v>3.2166660000080003</v>
      </c>
      <c r="N187" s="16">
        <f>+[1]!PRODUCTOS[[#This Row],[PRECIOCIGV]]*[1]!PRODUCTOS[[#This Row],[CANTIDAD]]</f>
        <v>38.599992000096002</v>
      </c>
    </row>
    <row r="188" spans="1:15" x14ac:dyDescent="0.3">
      <c r="A188" s="2" t="s">
        <v>83</v>
      </c>
      <c r="B188" s="2">
        <v>1</v>
      </c>
      <c r="C188" s="2" t="s">
        <v>189</v>
      </c>
      <c r="D188" s="5">
        <v>46119</v>
      </c>
      <c r="E188" s="9">
        <v>20100029741</v>
      </c>
      <c r="F188" s="10" t="s">
        <v>210</v>
      </c>
      <c r="G188" s="10"/>
      <c r="I188" s="13">
        <v>650</v>
      </c>
      <c r="J188" s="17" t="s">
        <v>250</v>
      </c>
      <c r="K188" s="15" t="s">
        <v>260</v>
      </c>
      <c r="L188" s="16" t="s">
        <v>261</v>
      </c>
      <c r="M188" s="16">
        <v>28.999999779999996</v>
      </c>
      <c r="N188" s="16">
        <v>18849.999856999999</v>
      </c>
      <c r="O188" s="22" t="s">
        <v>489</v>
      </c>
    </row>
    <row r="189" spans="1:15" x14ac:dyDescent="0.3">
      <c r="A189" s="2" t="s">
        <v>84</v>
      </c>
      <c r="B189" s="2">
        <v>1</v>
      </c>
      <c r="C189" s="2" t="s">
        <v>189</v>
      </c>
      <c r="D189" s="5">
        <v>46120</v>
      </c>
      <c r="E189" s="9">
        <v>10075211215</v>
      </c>
      <c r="F189" s="10" t="s">
        <v>214</v>
      </c>
      <c r="G189" s="10"/>
      <c r="I189" s="13">
        <v>102</v>
      </c>
      <c r="J189" s="17" t="s">
        <v>250</v>
      </c>
      <c r="K189" s="15" t="s">
        <v>318</v>
      </c>
      <c r="L189" s="16" t="s">
        <v>319</v>
      </c>
      <c r="M189" s="16">
        <v>73.69411764614</v>
      </c>
      <c r="N189" s="16">
        <v>7516.7999999062804</v>
      </c>
    </row>
    <row r="190" spans="1:15" x14ac:dyDescent="0.3">
      <c r="A190" s="2" t="s">
        <v>85</v>
      </c>
      <c r="B190" s="2">
        <v>1</v>
      </c>
      <c r="C190" s="2" t="s">
        <v>189</v>
      </c>
      <c r="D190" s="5">
        <v>46122</v>
      </c>
      <c r="E190" s="9">
        <v>10100117741</v>
      </c>
      <c r="F190" s="10" t="s">
        <v>212</v>
      </c>
      <c r="G190" s="10"/>
      <c r="I190" s="13">
        <v>150</v>
      </c>
      <c r="J190" s="17" t="s">
        <v>250</v>
      </c>
      <c r="K190" s="15" t="s">
        <v>490</v>
      </c>
      <c r="L190" s="16" t="s">
        <v>491</v>
      </c>
      <c r="M190" s="16">
        <v>2.8000000000799998</v>
      </c>
      <c r="N190" s="16">
        <v>420.00000001199999</v>
      </c>
    </row>
    <row r="191" spans="1:15" x14ac:dyDescent="0.3">
      <c r="A191" s="2" t="s">
        <v>86</v>
      </c>
      <c r="B191" s="2" t="s">
        <v>190</v>
      </c>
      <c r="C191" s="2" t="s">
        <v>189</v>
      </c>
      <c r="D191" s="5">
        <v>46122</v>
      </c>
      <c r="E191" s="9">
        <v>20100029741</v>
      </c>
      <c r="F191" s="10" t="s">
        <v>210</v>
      </c>
      <c r="G191" s="10"/>
      <c r="I191" s="13">
        <v>1</v>
      </c>
      <c r="J191" s="17" t="s">
        <v>250</v>
      </c>
      <c r="K191" s="15" t="s">
        <v>340</v>
      </c>
      <c r="L191" s="16" t="s">
        <v>341</v>
      </c>
      <c r="M191" s="16">
        <v>434.58999979999999</v>
      </c>
      <c r="N191" s="16">
        <v>434.58999979999999</v>
      </c>
      <c r="O191" s="22" t="s">
        <v>423</v>
      </c>
    </row>
    <row r="192" spans="1:15" x14ac:dyDescent="0.3">
      <c r="A192" s="2" t="s">
        <v>87</v>
      </c>
      <c r="B192" s="2" t="s">
        <v>190</v>
      </c>
      <c r="C192" s="2" t="s">
        <v>189</v>
      </c>
      <c r="D192" s="5">
        <v>46122</v>
      </c>
      <c r="E192" s="9">
        <v>20100029741</v>
      </c>
      <c r="F192" s="10" t="s">
        <v>210</v>
      </c>
      <c r="G192" s="10"/>
      <c r="I192" s="13">
        <v>1</v>
      </c>
      <c r="J192" s="17" t="s">
        <v>250</v>
      </c>
      <c r="K192" s="15" t="s">
        <v>340</v>
      </c>
      <c r="L192" s="16" t="s">
        <v>341</v>
      </c>
      <c r="M192" s="16">
        <v>149.85999999999999</v>
      </c>
      <c r="N192" s="16">
        <v>149.85999999999999</v>
      </c>
      <c r="O192" s="22" t="s">
        <v>412</v>
      </c>
    </row>
    <row r="193" spans="1:15" x14ac:dyDescent="0.3">
      <c r="A193" s="2" t="s">
        <v>88</v>
      </c>
      <c r="B193" s="2" t="s">
        <v>190</v>
      </c>
      <c r="C193" s="2" t="s">
        <v>189</v>
      </c>
      <c r="D193" s="5">
        <v>46122</v>
      </c>
      <c r="E193" s="9">
        <v>20100029741</v>
      </c>
      <c r="F193" s="10" t="s">
        <v>210</v>
      </c>
      <c r="G193" s="10"/>
      <c r="I193" s="13">
        <v>1</v>
      </c>
      <c r="J193" s="17"/>
      <c r="K193" s="15" t="s">
        <v>340</v>
      </c>
      <c r="L193" s="16" t="s">
        <v>341</v>
      </c>
      <c r="M193" s="16">
        <v>419.14000019999997</v>
      </c>
      <c r="N193" s="16">
        <v>419.14000019999997</v>
      </c>
      <c r="O193" s="22" t="s">
        <v>343</v>
      </c>
    </row>
    <row r="194" spans="1:15" x14ac:dyDescent="0.3">
      <c r="A194" s="2" t="s">
        <v>89</v>
      </c>
      <c r="B194" s="2" t="s">
        <v>190</v>
      </c>
      <c r="C194" s="2" t="s">
        <v>189</v>
      </c>
      <c r="D194" s="5">
        <v>46122</v>
      </c>
      <c r="E194" s="9">
        <v>20100029741</v>
      </c>
      <c r="F194" s="10" t="s">
        <v>210</v>
      </c>
      <c r="G194" s="10"/>
      <c r="I194" s="13">
        <v>1</v>
      </c>
      <c r="J194" s="17"/>
      <c r="K194" s="15" t="s">
        <v>340</v>
      </c>
      <c r="L194" s="16" t="s">
        <v>341</v>
      </c>
      <c r="M194" s="16">
        <v>157.18000019999999</v>
      </c>
      <c r="N194" s="16">
        <v>157.18000019999999</v>
      </c>
      <c r="O194" s="22" t="s">
        <v>492</v>
      </c>
    </row>
    <row r="195" spans="1:15" x14ac:dyDescent="0.3">
      <c r="A195" s="2" t="s">
        <v>90</v>
      </c>
      <c r="B195" s="2" t="s">
        <v>190</v>
      </c>
      <c r="C195" s="2" t="s">
        <v>189</v>
      </c>
      <c r="D195" s="5">
        <v>46122</v>
      </c>
      <c r="E195" s="9">
        <v>20100029741</v>
      </c>
      <c r="F195" s="10" t="s">
        <v>210</v>
      </c>
      <c r="G195" s="10"/>
      <c r="I195" s="13">
        <v>1</v>
      </c>
      <c r="J195" s="17"/>
      <c r="K195" s="15" t="s">
        <v>340</v>
      </c>
      <c r="L195" s="16" t="s">
        <v>341</v>
      </c>
      <c r="M195" s="16">
        <v>1921.04</v>
      </c>
      <c r="N195" s="16">
        <v>1921.04</v>
      </c>
      <c r="O195" s="22" t="s">
        <v>493</v>
      </c>
    </row>
    <row r="196" spans="1:15" x14ac:dyDescent="0.3">
      <c r="A196" s="2" t="s">
        <v>91</v>
      </c>
      <c r="B196" s="2">
        <v>1</v>
      </c>
      <c r="C196" s="2" t="s">
        <v>189</v>
      </c>
      <c r="D196" s="5">
        <v>46123</v>
      </c>
      <c r="E196" s="9">
        <v>20100029741</v>
      </c>
      <c r="F196" s="10" t="s">
        <v>210</v>
      </c>
      <c r="G196" s="10"/>
      <c r="I196" s="13">
        <v>650</v>
      </c>
      <c r="J196" s="17" t="s">
        <v>250</v>
      </c>
      <c r="K196" s="15" t="s">
        <v>260</v>
      </c>
      <c r="L196" s="16" t="s">
        <v>261</v>
      </c>
      <c r="M196" s="16">
        <v>28.999999779999996</v>
      </c>
      <c r="N196" s="16">
        <v>18849.999856999999</v>
      </c>
    </row>
    <row r="197" spans="1:15" x14ac:dyDescent="0.3">
      <c r="A197" s="2" t="s">
        <v>92</v>
      </c>
      <c r="B197" s="2">
        <v>1</v>
      </c>
      <c r="C197" s="2" t="s">
        <v>189</v>
      </c>
      <c r="D197" s="5">
        <v>46123</v>
      </c>
      <c r="E197" s="9">
        <v>20100029741</v>
      </c>
      <c r="F197" s="10" t="s">
        <v>210</v>
      </c>
      <c r="G197" s="10"/>
      <c r="I197" s="13">
        <v>650</v>
      </c>
      <c r="J197" s="17" t="s">
        <v>250</v>
      </c>
      <c r="K197" s="15" t="s">
        <v>260</v>
      </c>
      <c r="L197" s="16" t="s">
        <v>261</v>
      </c>
      <c r="M197" s="16">
        <v>28.999999779999996</v>
      </c>
      <c r="N197" s="16">
        <v>18849.999856999999</v>
      </c>
    </row>
    <row r="198" spans="1:15" x14ac:dyDescent="0.3">
      <c r="A198" s="2" t="s">
        <v>93</v>
      </c>
      <c r="B198" s="2">
        <v>1</v>
      </c>
      <c r="C198" s="2" t="s">
        <v>189</v>
      </c>
      <c r="D198" s="5">
        <v>46123</v>
      </c>
      <c r="E198" s="9">
        <v>20100029741</v>
      </c>
      <c r="F198" s="10" t="s">
        <v>210</v>
      </c>
      <c r="G198" s="10"/>
      <c r="I198" s="13">
        <f>+[1]!PRODUCTOS[[#This Row],[CANT.]]</f>
        <v>1</v>
      </c>
      <c r="J198" s="19" t="s">
        <v>250</v>
      </c>
      <c r="K198" s="19" t="s">
        <v>257</v>
      </c>
      <c r="L198" s="20" t="s">
        <v>258</v>
      </c>
      <c r="M198" s="16">
        <f>+[1]!PRODUCTOS[[#This Row],[PRECIO]]*18%+[1]!PRODUCTOS[[#This Row],[PRECIO]]</f>
        <v>157.18000020000002</v>
      </c>
      <c r="N198" s="16">
        <f>+[1]!PRODUCTOS[[#This Row],[PRECIOCIGV]]*[1]!PRODUCTOS[[#This Row],[CANTIDAD]]</f>
        <v>157.18000019999999</v>
      </c>
      <c r="O198" s="22" t="s">
        <v>494</v>
      </c>
    </row>
    <row r="199" spans="1:15" x14ac:dyDescent="0.3">
      <c r="A199" s="2" t="s">
        <v>94</v>
      </c>
      <c r="B199" s="2">
        <v>1</v>
      </c>
      <c r="C199" s="2" t="s">
        <v>189</v>
      </c>
      <c r="D199" s="5">
        <v>46125</v>
      </c>
      <c r="E199" s="9">
        <v>10075211215</v>
      </c>
      <c r="F199" s="10" t="s">
        <v>214</v>
      </c>
      <c r="G199" s="10"/>
      <c r="I199" s="13">
        <v>200</v>
      </c>
      <c r="J199" s="17" t="s">
        <v>250</v>
      </c>
      <c r="K199" s="15" t="s">
        <v>430</v>
      </c>
      <c r="L199" s="16" t="s">
        <v>431</v>
      </c>
      <c r="M199" s="16">
        <v>7.4999999959999997</v>
      </c>
      <c r="N199" s="16">
        <v>1499.9999991999998</v>
      </c>
    </row>
    <row r="200" spans="1:15" x14ac:dyDescent="0.3">
      <c r="A200" s="2" t="s">
        <v>94</v>
      </c>
      <c r="B200" s="2">
        <v>1</v>
      </c>
      <c r="C200" s="2" t="s">
        <v>189</v>
      </c>
      <c r="D200" s="5">
        <v>46125</v>
      </c>
      <c r="E200" s="9">
        <v>10075211215</v>
      </c>
      <c r="F200" s="10" t="s">
        <v>214</v>
      </c>
      <c r="G200" s="10"/>
      <c r="I200" s="13">
        <v>464</v>
      </c>
      <c r="J200" s="17" t="s">
        <v>250</v>
      </c>
      <c r="K200" s="15" t="s">
        <v>413</v>
      </c>
      <c r="L200" s="16" t="s">
        <v>414</v>
      </c>
      <c r="M200" s="16">
        <v>32.306896444000003</v>
      </c>
      <c r="N200" s="16">
        <v>14990.399950016001</v>
      </c>
    </row>
    <row r="201" spans="1:15" x14ac:dyDescent="0.3">
      <c r="A201" s="2" t="s">
        <v>94</v>
      </c>
      <c r="B201" s="2">
        <v>1</v>
      </c>
      <c r="C201" s="2" t="s">
        <v>189</v>
      </c>
      <c r="D201" s="5">
        <v>46125</v>
      </c>
      <c r="E201" s="9">
        <v>10075211215</v>
      </c>
      <c r="F201" s="10" t="s">
        <v>214</v>
      </c>
      <c r="G201" s="10"/>
      <c r="I201" s="13">
        <v>150</v>
      </c>
      <c r="J201" s="17" t="s">
        <v>250</v>
      </c>
      <c r="K201" s="15" t="s">
        <v>336</v>
      </c>
      <c r="L201" s="16" t="s">
        <v>337</v>
      </c>
      <c r="M201" s="16">
        <v>49.9679999978</v>
      </c>
      <c r="N201" s="16">
        <v>7495.1999996699997</v>
      </c>
    </row>
    <row r="202" spans="1:15" x14ac:dyDescent="0.3">
      <c r="A202" s="2" t="s">
        <v>94</v>
      </c>
      <c r="B202" s="2">
        <v>1</v>
      </c>
      <c r="C202" s="2" t="s">
        <v>189</v>
      </c>
      <c r="D202" s="5">
        <v>46125</v>
      </c>
      <c r="E202" s="9">
        <v>10075211215</v>
      </c>
      <c r="F202" s="10" t="s">
        <v>214</v>
      </c>
      <c r="G202" s="10"/>
      <c r="I202" s="13">
        <v>416</v>
      </c>
      <c r="J202" s="17" t="s">
        <v>250</v>
      </c>
      <c r="K202" s="15" t="s">
        <v>334</v>
      </c>
      <c r="L202" s="16" t="s">
        <v>335</v>
      </c>
      <c r="M202" s="16">
        <v>18.017306719999997</v>
      </c>
      <c r="N202" s="16">
        <v>7495.1995955199991</v>
      </c>
    </row>
    <row r="203" spans="1:15" x14ac:dyDescent="0.3">
      <c r="A203" s="2" t="s">
        <v>95</v>
      </c>
      <c r="B203" s="2">
        <v>1</v>
      </c>
      <c r="C203" s="2" t="s">
        <v>189</v>
      </c>
      <c r="D203" s="5">
        <v>46125</v>
      </c>
      <c r="E203" s="9">
        <v>10075171868</v>
      </c>
      <c r="F203" s="10" t="s">
        <v>208</v>
      </c>
      <c r="G203" s="10"/>
      <c r="I203" s="13">
        <v>832</v>
      </c>
      <c r="J203" s="17" t="s">
        <v>250</v>
      </c>
      <c r="K203" s="15" t="s">
        <v>334</v>
      </c>
      <c r="L203" s="16" t="s">
        <v>335</v>
      </c>
      <c r="M203" s="16">
        <v>17.757692300399999</v>
      </c>
      <c r="N203" s="16">
        <v>14774.399993932799</v>
      </c>
    </row>
    <row r="204" spans="1:15" x14ac:dyDescent="0.3">
      <c r="A204" s="2" t="s">
        <v>96</v>
      </c>
      <c r="B204" s="2">
        <v>1</v>
      </c>
      <c r="C204" s="2" t="s">
        <v>189</v>
      </c>
      <c r="D204" s="5">
        <v>46125</v>
      </c>
      <c r="E204" s="9">
        <v>20448121691</v>
      </c>
      <c r="F204" s="10" t="s">
        <v>203</v>
      </c>
      <c r="G204" s="10"/>
      <c r="I204" s="13">
        <v>12</v>
      </c>
      <c r="J204" s="17" t="s">
        <v>250</v>
      </c>
      <c r="K204" s="15" t="s">
        <v>495</v>
      </c>
      <c r="L204" s="16" t="s">
        <v>496</v>
      </c>
      <c r="M204" s="16">
        <v>16.999999999979998</v>
      </c>
      <c r="N204" s="16">
        <v>203.99999999975998</v>
      </c>
    </row>
    <row r="205" spans="1:15" x14ac:dyDescent="0.3">
      <c r="A205" s="2" t="s">
        <v>96</v>
      </c>
      <c r="B205" s="2">
        <v>1</v>
      </c>
      <c r="C205" s="2" t="s">
        <v>189</v>
      </c>
      <c r="D205" s="5">
        <v>46125</v>
      </c>
      <c r="E205" s="9">
        <v>20448121691</v>
      </c>
      <c r="F205" s="10" t="s">
        <v>203</v>
      </c>
      <c r="G205" s="10"/>
      <c r="I205" s="13">
        <v>12</v>
      </c>
      <c r="J205" s="17" t="s">
        <v>250</v>
      </c>
      <c r="K205" s="15" t="s">
        <v>497</v>
      </c>
      <c r="L205" s="16" t="s">
        <v>498</v>
      </c>
      <c r="M205" s="16">
        <v>7.8333333333379995</v>
      </c>
      <c r="N205" s="16">
        <v>94.000000000055991</v>
      </c>
    </row>
    <row r="206" spans="1:15" x14ac:dyDescent="0.3">
      <c r="A206" s="2" t="s">
        <v>96</v>
      </c>
      <c r="B206" s="2">
        <v>1</v>
      </c>
      <c r="C206" s="2" t="s">
        <v>189</v>
      </c>
      <c r="D206" s="5">
        <v>46125</v>
      </c>
      <c r="E206" s="9">
        <v>20448121691</v>
      </c>
      <c r="F206" s="10" t="s">
        <v>203</v>
      </c>
      <c r="G206" s="10"/>
      <c r="I206" s="13">
        <v>40</v>
      </c>
      <c r="J206" s="17" t="s">
        <v>262</v>
      </c>
      <c r="K206" s="15" t="s">
        <v>499</v>
      </c>
      <c r="L206" s="16" t="s">
        <v>500</v>
      </c>
      <c r="M206" s="16">
        <f>+[1]!PRODUCTOS[[#This Row],[PRECIO]]*18%+[1]!PRODUCTOS[[#This Row],[PRECIO]]</f>
        <v>18.017306720000001</v>
      </c>
      <c r="N206" s="16">
        <f>+[1]!PRODUCTOS[[#This Row],[PRECIOCIGV]]*[1]!PRODUCTOS[[#This Row],[CANTIDAD]]</f>
        <v>7495.1995955199991</v>
      </c>
    </row>
    <row r="207" spans="1:15" x14ac:dyDescent="0.3">
      <c r="A207" s="2" t="s">
        <v>96</v>
      </c>
      <c r="B207" s="2">
        <v>1</v>
      </c>
      <c r="C207" s="2" t="s">
        <v>189</v>
      </c>
      <c r="D207" s="5">
        <v>46125</v>
      </c>
      <c r="E207" s="9">
        <v>20448121691</v>
      </c>
      <c r="F207" s="10" t="s">
        <v>203</v>
      </c>
      <c r="G207" s="10"/>
      <c r="I207" s="13">
        <v>12</v>
      </c>
      <c r="J207" s="17" t="s">
        <v>250</v>
      </c>
      <c r="K207" s="19" t="s">
        <v>501</v>
      </c>
      <c r="L207" s="20" t="s">
        <v>502</v>
      </c>
      <c r="M207" s="16">
        <v>21.500000000057998</v>
      </c>
      <c r="N207" s="16">
        <v>258.00000000069599</v>
      </c>
    </row>
    <row r="208" spans="1:15" x14ac:dyDescent="0.3">
      <c r="A208" s="2" t="s">
        <v>97</v>
      </c>
      <c r="B208" s="2">
        <v>1</v>
      </c>
      <c r="C208" s="2" t="s">
        <v>189</v>
      </c>
      <c r="D208" s="5">
        <v>46126</v>
      </c>
      <c r="E208" s="9">
        <v>20524055563</v>
      </c>
      <c r="F208" s="10" t="s">
        <v>215</v>
      </c>
      <c r="G208" s="10"/>
      <c r="I208" s="13">
        <v>24</v>
      </c>
      <c r="J208" s="17" t="s">
        <v>250</v>
      </c>
      <c r="K208" s="15" t="s">
        <v>503</v>
      </c>
      <c r="L208" s="16" t="s">
        <v>504</v>
      </c>
      <c r="M208" s="16">
        <v>22.500000000035996</v>
      </c>
      <c r="N208" s="16">
        <v>540.00000000086391</v>
      </c>
    </row>
    <row r="209" spans="1:14" x14ac:dyDescent="0.3">
      <c r="A209" s="2" t="s">
        <v>98</v>
      </c>
      <c r="B209" s="2">
        <v>1</v>
      </c>
      <c r="C209" s="2" t="s">
        <v>189</v>
      </c>
      <c r="D209" s="5">
        <v>46127</v>
      </c>
      <c r="E209" s="9">
        <v>15604473761</v>
      </c>
      <c r="F209" s="10" t="s">
        <v>226</v>
      </c>
      <c r="G209" s="10"/>
      <c r="I209" s="13">
        <f>+[1]!PRODUCTOS[[#This Row],[CANT.]]</f>
        <v>12</v>
      </c>
      <c r="J209" s="17" t="s">
        <v>250</v>
      </c>
      <c r="K209" s="15" t="s">
        <v>505</v>
      </c>
      <c r="L209" s="16" t="s">
        <v>506</v>
      </c>
      <c r="M209" s="16">
        <f>+[1]!PRODUCTOS[[#This Row],[PRECIO]]*18%+[1]!PRODUCTOS[[#This Row],[PRECIO]]</f>
        <v>7.8333333333380004</v>
      </c>
      <c r="N209" s="16">
        <f>+[1]!PRODUCTOS[[#This Row],[PRECIOCIGV]]*[1]!PRODUCTOS[[#This Row],[CANTIDAD]]</f>
        <v>94.000000000055991</v>
      </c>
    </row>
    <row r="210" spans="1:14" x14ac:dyDescent="0.3">
      <c r="A210" s="2" t="s">
        <v>99</v>
      </c>
      <c r="B210" s="2">
        <v>1</v>
      </c>
      <c r="C210" s="2" t="s">
        <v>189</v>
      </c>
      <c r="D210" s="5">
        <v>46128</v>
      </c>
      <c r="E210" s="9">
        <v>10075171868</v>
      </c>
      <c r="F210" s="10" t="s">
        <v>208</v>
      </c>
      <c r="G210" s="10"/>
      <c r="I210" s="13">
        <v>232</v>
      </c>
      <c r="J210" s="17" t="s">
        <v>250</v>
      </c>
      <c r="K210" s="15" t="s">
        <v>413</v>
      </c>
      <c r="L210" s="16" t="s">
        <v>414</v>
      </c>
      <c r="M210" s="16">
        <v>31.655163799999997</v>
      </c>
      <c r="N210" s="16">
        <v>7343.998001599999</v>
      </c>
    </row>
    <row r="211" spans="1:14" x14ac:dyDescent="0.3">
      <c r="A211" s="2" t="s">
        <v>99</v>
      </c>
      <c r="B211" s="2">
        <v>1</v>
      </c>
      <c r="C211" s="2" t="s">
        <v>189</v>
      </c>
      <c r="D211" s="5">
        <v>46128</v>
      </c>
      <c r="E211" s="9">
        <v>10075171868</v>
      </c>
      <c r="F211" s="10" t="s">
        <v>208</v>
      </c>
      <c r="G211" s="10"/>
      <c r="I211" s="13">
        <v>300</v>
      </c>
      <c r="J211" s="17" t="s">
        <v>250</v>
      </c>
      <c r="K211" s="15" t="s">
        <v>336</v>
      </c>
      <c r="L211" s="16" t="s">
        <v>337</v>
      </c>
      <c r="M211" s="16">
        <v>48.9599999956</v>
      </c>
      <c r="N211" s="16">
        <v>14687.999998679999</v>
      </c>
    </row>
    <row r="212" spans="1:14" x14ac:dyDescent="0.3">
      <c r="A212" s="2" t="s">
        <v>99</v>
      </c>
      <c r="B212" s="2">
        <v>1</v>
      </c>
      <c r="C212" s="2" t="s">
        <v>189</v>
      </c>
      <c r="D212" s="5">
        <v>46128</v>
      </c>
      <c r="E212" s="9">
        <v>10075171868</v>
      </c>
      <c r="F212" s="10" t="s">
        <v>208</v>
      </c>
      <c r="G212" s="10"/>
      <c r="I212" s="13">
        <v>516</v>
      </c>
      <c r="J212" s="17" t="s">
        <v>250</v>
      </c>
      <c r="K212" s="15" t="s">
        <v>430</v>
      </c>
      <c r="L212" s="16" t="s">
        <v>431</v>
      </c>
      <c r="M212" s="16">
        <v>7.1162789819999999</v>
      </c>
      <c r="N212" s="16">
        <v>3671.9999547120001</v>
      </c>
    </row>
    <row r="213" spans="1:14" x14ac:dyDescent="0.3">
      <c r="A213" s="2" t="s">
        <v>99</v>
      </c>
      <c r="B213" s="2">
        <v>1</v>
      </c>
      <c r="C213" s="2" t="s">
        <v>189</v>
      </c>
      <c r="D213" s="5">
        <v>46128</v>
      </c>
      <c r="E213" s="9">
        <v>10075171868</v>
      </c>
      <c r="F213" s="10" t="s">
        <v>208</v>
      </c>
      <c r="G213" s="10"/>
      <c r="I213" s="13">
        <v>102</v>
      </c>
      <c r="J213" s="17" t="s">
        <v>250</v>
      </c>
      <c r="K213" s="15" t="s">
        <v>318</v>
      </c>
      <c r="L213" s="16" t="s">
        <v>319</v>
      </c>
      <c r="M213" s="16">
        <v>71.99999999936</v>
      </c>
      <c r="N213" s="16">
        <v>7343.9999999347201</v>
      </c>
    </row>
    <row r="214" spans="1:14" x14ac:dyDescent="0.3">
      <c r="A214" s="2" t="s">
        <v>100</v>
      </c>
      <c r="B214" s="2">
        <v>1</v>
      </c>
      <c r="C214" s="2" t="s">
        <v>189</v>
      </c>
      <c r="D214" s="5">
        <v>46128</v>
      </c>
      <c r="E214" s="9">
        <v>20614627990</v>
      </c>
      <c r="F214" s="10" t="s">
        <v>227</v>
      </c>
      <c r="G214" s="10"/>
      <c r="I214" s="13">
        <f>+[1]!PRODUCTOS[[#This Row],[CANT.]]</f>
        <v>232</v>
      </c>
      <c r="J214" s="17" t="s">
        <v>250</v>
      </c>
      <c r="K214" s="15" t="s">
        <v>507</v>
      </c>
      <c r="L214" s="16" t="s">
        <v>508</v>
      </c>
      <c r="M214" s="16">
        <f>+[1]!PRODUCTOS[[#This Row],[PRECIO]]*18%+[1]!PRODUCTOS[[#This Row],[PRECIO]]</f>
        <v>31.655163799999997</v>
      </c>
      <c r="N214" s="16">
        <f>+[1]!PRODUCTOS[[#This Row],[PRECIOCIGV]]*[1]!PRODUCTOS[[#This Row],[CANTIDAD]]</f>
        <v>7343.998001599999</v>
      </c>
    </row>
    <row r="215" spans="1:14" x14ac:dyDescent="0.3">
      <c r="A215" s="2" t="s">
        <v>100</v>
      </c>
      <c r="B215" s="2">
        <v>1</v>
      </c>
      <c r="C215" s="2" t="s">
        <v>189</v>
      </c>
      <c r="D215" s="5">
        <v>46128</v>
      </c>
      <c r="E215" s="9">
        <v>20614627990</v>
      </c>
      <c r="F215" s="10" t="s">
        <v>227</v>
      </c>
      <c r="G215" s="10"/>
      <c r="I215" s="13">
        <f>+[1]!PRODUCTOS[[#This Row],[CANT.]]</f>
        <v>300</v>
      </c>
      <c r="J215" s="17"/>
      <c r="K215" s="19" t="s">
        <v>509</v>
      </c>
      <c r="L215" s="20" t="s">
        <v>510</v>
      </c>
      <c r="M215" s="16">
        <f>+[1]!PRODUCTOS[[#This Row],[PRECIO]]*18%+[1]!PRODUCTOS[[#This Row],[PRECIO]]</f>
        <v>48.9599999956</v>
      </c>
      <c r="N215" s="16">
        <f>+[1]!PRODUCTOS[[#This Row],[PRECIOCIGV]]*[1]!PRODUCTOS[[#This Row],[CANTIDAD]]</f>
        <v>14687.999998679999</v>
      </c>
    </row>
    <row r="216" spans="1:14" x14ac:dyDescent="0.3">
      <c r="A216" s="2" t="s">
        <v>100</v>
      </c>
      <c r="B216" s="2">
        <v>1</v>
      </c>
      <c r="C216" s="2" t="s">
        <v>189</v>
      </c>
      <c r="D216" s="5">
        <v>46128</v>
      </c>
      <c r="E216" s="9">
        <v>20614627990</v>
      </c>
      <c r="F216" s="10" t="s">
        <v>227</v>
      </c>
      <c r="G216" s="10"/>
      <c r="I216" s="13">
        <f>+[1]!PRODUCTOS[[#This Row],[CANT.]]</f>
        <v>516</v>
      </c>
      <c r="J216" s="17"/>
      <c r="K216" s="19" t="s">
        <v>509</v>
      </c>
      <c r="L216" s="20" t="s">
        <v>510</v>
      </c>
      <c r="M216" s="16">
        <f>+[1]!PRODUCTOS[[#This Row],[PRECIO]]*18%+[1]!PRODUCTOS[[#This Row],[PRECIO]]</f>
        <v>7.1162789819999999</v>
      </c>
      <c r="N216" s="16">
        <f>+[1]!PRODUCTOS[[#This Row],[PRECIOCIGV]]*[1]!PRODUCTOS[[#This Row],[CANTIDAD]]</f>
        <v>3671.9999547120001</v>
      </c>
    </row>
    <row r="217" spans="1:14" x14ac:dyDescent="0.3">
      <c r="A217" s="2" t="s">
        <v>100</v>
      </c>
      <c r="B217" s="2">
        <v>1</v>
      </c>
      <c r="C217" s="2" t="s">
        <v>189</v>
      </c>
      <c r="D217" s="5">
        <v>46128</v>
      </c>
      <c r="E217" s="9">
        <v>20614627990</v>
      </c>
      <c r="F217" s="10" t="s">
        <v>227</v>
      </c>
      <c r="G217" s="10"/>
      <c r="I217" s="13">
        <f>+[1]!PRODUCTOS[[#This Row],[CANT.]]</f>
        <v>102</v>
      </c>
      <c r="J217" s="17"/>
      <c r="K217" s="19" t="s">
        <v>511</v>
      </c>
      <c r="L217" s="20" t="s">
        <v>512</v>
      </c>
      <c r="M217" s="16">
        <f>+[1]!PRODUCTOS[[#This Row],[PRECIO]]*18%+[1]!PRODUCTOS[[#This Row],[PRECIO]]</f>
        <v>71.99999999936</v>
      </c>
      <c r="N217" s="16">
        <f>+[1]!PRODUCTOS[[#This Row],[PRECIOCIGV]]*[1]!PRODUCTOS[[#This Row],[CANTIDAD]]</f>
        <v>7343.9999999347201</v>
      </c>
    </row>
    <row r="218" spans="1:14" x14ac:dyDescent="0.3">
      <c r="A218" s="2" t="s">
        <v>101</v>
      </c>
      <c r="B218" s="2">
        <v>1</v>
      </c>
      <c r="C218" s="2" t="s">
        <v>189</v>
      </c>
      <c r="D218" s="5">
        <v>46129</v>
      </c>
      <c r="E218" s="9">
        <v>20255020278</v>
      </c>
      <c r="F218" s="10" t="s">
        <v>228</v>
      </c>
      <c r="G218" s="10"/>
      <c r="I218" s="13">
        <f>+[1]!PRODUCTOS[[#This Row],[CANT.]]*1000</f>
        <v>12000</v>
      </c>
      <c r="J218" s="17" t="s">
        <v>250</v>
      </c>
      <c r="K218" s="19" t="s">
        <v>513</v>
      </c>
      <c r="L218" s="20" t="s">
        <v>514</v>
      </c>
      <c r="M218" s="16">
        <f>+[1]!PRODUCTOS[[#This Row],[PRECIO]]*18%+[1]!PRODUCTOS[[#This Row],[PRECIO]]</f>
        <v>4.8000040000000004</v>
      </c>
      <c r="N218" s="16">
        <f>+[1]!PRODUCTOS[[#This Row],[PRECIOCIGV]]*[1]!PRODUCTOS[[#This Row],[CANTIDAD]]</f>
        <v>57.600048000000001</v>
      </c>
    </row>
    <row r="219" spans="1:14" x14ac:dyDescent="0.3">
      <c r="A219" s="2" t="s">
        <v>102</v>
      </c>
      <c r="B219" s="2">
        <v>1</v>
      </c>
      <c r="C219" s="2" t="s">
        <v>189</v>
      </c>
      <c r="D219" s="5">
        <v>46129</v>
      </c>
      <c r="E219" s="9">
        <v>20255020278</v>
      </c>
      <c r="F219" s="10" t="s">
        <v>228</v>
      </c>
      <c r="G219" s="10"/>
      <c r="I219" s="13">
        <f>+[1]!PRODUCTOS[[#This Row],[CANT.]]*1000</f>
        <v>6000</v>
      </c>
      <c r="J219" s="17" t="s">
        <v>250</v>
      </c>
      <c r="K219" s="19" t="s">
        <v>513</v>
      </c>
      <c r="L219" s="20" t="s">
        <v>514</v>
      </c>
      <c r="M219" s="16">
        <f>+[1]!PRODUCTOS[[#This Row],[PRECIO]]*18%+[1]!PRODUCTOS[[#This Row],[PRECIO]]</f>
        <v>32.2999984</v>
      </c>
      <c r="N219" s="16">
        <f>+[1]!PRODUCTOS[[#This Row],[PRECIOCIGV]]*[1]!PRODUCTOS[[#This Row],[CANTIDAD]]</f>
        <v>193.79999040000001</v>
      </c>
    </row>
    <row r="220" spans="1:14" x14ac:dyDescent="0.3">
      <c r="A220" s="2" t="s">
        <v>103</v>
      </c>
      <c r="B220" s="2">
        <v>1</v>
      </c>
      <c r="C220" s="2" t="s">
        <v>189</v>
      </c>
      <c r="D220" s="5">
        <v>46129</v>
      </c>
      <c r="E220" s="9">
        <v>20614627990</v>
      </c>
      <c r="F220" s="10" t="s">
        <v>227</v>
      </c>
      <c r="G220" s="10"/>
      <c r="I220" s="13">
        <f>+[1]!PRODUCTOS[[#This Row],[CANT.]]</f>
        <v>6</v>
      </c>
      <c r="J220" s="17" t="s">
        <v>250</v>
      </c>
      <c r="K220" s="19" t="s">
        <v>515</v>
      </c>
      <c r="L220" s="20" t="s">
        <v>516</v>
      </c>
      <c r="M220" s="16">
        <f>+[1]!PRODUCTOS[[#This Row],[PRECIO]]*18%+[1]!PRODUCTOS[[#This Row],[PRECIO]]</f>
        <v>16.650000599999998</v>
      </c>
      <c r="N220" s="16">
        <f>+[1]!PRODUCTOS[[#This Row],[PRECIOCIGV]]*[1]!PRODUCTOS[[#This Row],[CANTIDAD]]</f>
        <v>99.900003599999991</v>
      </c>
    </row>
    <row r="221" spans="1:14" x14ac:dyDescent="0.3">
      <c r="A221" s="2" t="s">
        <v>103</v>
      </c>
      <c r="B221" s="2">
        <v>1</v>
      </c>
      <c r="C221" s="2" t="s">
        <v>189</v>
      </c>
      <c r="D221" s="5">
        <v>46129</v>
      </c>
      <c r="E221" s="9">
        <v>20614627990</v>
      </c>
      <c r="F221" s="10" t="s">
        <v>227</v>
      </c>
      <c r="G221" s="10"/>
      <c r="I221" s="13">
        <f>+[1]!PRODUCTOS[[#This Row],[CANT.]]</f>
        <v>6</v>
      </c>
      <c r="J221" s="17" t="s">
        <v>250</v>
      </c>
      <c r="K221" s="15" t="s">
        <v>517</v>
      </c>
      <c r="L221" s="16" t="s">
        <v>518</v>
      </c>
      <c r="M221" s="16">
        <f>+[1]!PRODUCTOS[[#This Row],[PRECIO]]*18%+[1]!PRODUCTOS[[#This Row],[PRECIO]]</f>
        <v>47.359996199999998</v>
      </c>
      <c r="N221" s="16">
        <f>+[1]!PRODUCTOS[[#This Row],[PRECIOCIGV]]*[1]!PRODUCTOS[[#This Row],[CANTIDAD]]</f>
        <v>284.15997719999996</v>
      </c>
    </row>
    <row r="222" spans="1:14" x14ac:dyDescent="0.3">
      <c r="A222" s="2" t="s">
        <v>103</v>
      </c>
      <c r="B222" s="2">
        <v>1</v>
      </c>
      <c r="C222" s="2" t="s">
        <v>189</v>
      </c>
      <c r="D222" s="5">
        <v>46129</v>
      </c>
      <c r="E222" s="9">
        <v>20614627990</v>
      </c>
      <c r="F222" s="10" t="s">
        <v>227</v>
      </c>
      <c r="G222" s="10"/>
      <c r="I222" s="13">
        <f>+[1]!PRODUCTOS[[#This Row],[CANT.]]</f>
        <v>1.25</v>
      </c>
      <c r="J222" s="17" t="s">
        <v>250</v>
      </c>
      <c r="K222" s="15" t="s">
        <v>517</v>
      </c>
      <c r="L222" s="16" t="s">
        <v>518</v>
      </c>
      <c r="M222" s="16">
        <f>+[1]!PRODUCTOS[[#This Row],[PRECIO]]*18%+[1]!PRODUCTOS[[#This Row],[PRECIO]]</f>
        <v>2.6001599720000002</v>
      </c>
      <c r="N222" s="16">
        <f>+[1]!PRODUCTOS[[#This Row],[PRECIOCIGV]]*[1]!PRODUCTOS[[#This Row],[CANTIDAD]]</f>
        <v>3250.1999650000002</v>
      </c>
    </row>
    <row r="223" spans="1:14" x14ac:dyDescent="0.3">
      <c r="A223" s="2" t="s">
        <v>103</v>
      </c>
      <c r="B223" s="2">
        <v>1</v>
      </c>
      <c r="C223" s="2" t="s">
        <v>189</v>
      </c>
      <c r="D223" s="5">
        <v>46129</v>
      </c>
      <c r="E223" s="9">
        <v>20614627990</v>
      </c>
      <c r="F223" s="10" t="s">
        <v>227</v>
      </c>
      <c r="G223" s="10"/>
      <c r="I223" s="13">
        <f>+[1]!PRODUCTOS[[#This Row],[CANT.]]</f>
        <v>0.75</v>
      </c>
      <c r="J223" s="17" t="s">
        <v>250</v>
      </c>
      <c r="K223" s="19" t="s">
        <v>355</v>
      </c>
      <c r="L223" s="20" t="s">
        <v>356</v>
      </c>
      <c r="M223" s="16">
        <f>+[1]!PRODUCTOS[[#This Row],[PRECIO]]*18%+[1]!PRODUCTOS[[#This Row],[PRECIO]]</f>
        <v>2.6001599720000002</v>
      </c>
      <c r="N223" s="16">
        <f>+[1]!PRODUCTOS[[#This Row],[PRECIOCIGV]]*[1]!PRODUCTOS[[#This Row],[CANTIDAD]]</f>
        <v>1950.1199790000001</v>
      </c>
    </row>
    <row r="224" spans="1:14" x14ac:dyDescent="0.3">
      <c r="A224" s="2" t="s">
        <v>103</v>
      </c>
      <c r="B224" s="2">
        <v>1</v>
      </c>
      <c r="C224" s="2" t="s">
        <v>189</v>
      </c>
      <c r="D224" s="5">
        <v>46129</v>
      </c>
      <c r="E224" s="9">
        <v>20614627990</v>
      </c>
      <c r="F224" s="10" t="s">
        <v>227</v>
      </c>
      <c r="G224" s="10"/>
      <c r="I224" s="13">
        <f>+[1]!PRODUCTOS[[#This Row],[CANT.]]</f>
        <v>100</v>
      </c>
      <c r="J224" s="17" t="s">
        <v>250</v>
      </c>
      <c r="K224" s="19" t="s">
        <v>300</v>
      </c>
      <c r="L224" s="20" t="s">
        <v>301</v>
      </c>
      <c r="M224" s="16">
        <f>+[1]!PRODUCTOS[[#This Row],[PRECIO]]*18%+[1]!PRODUCTOS[[#This Row],[PRECIO]]</f>
        <v>1.2499975999999999</v>
      </c>
      <c r="N224" s="16">
        <f>+[1]!PRODUCTOS[[#This Row],[PRECIOCIGV]]*[1]!PRODUCTOS[[#This Row],[CANTIDAD]]</f>
        <v>124.99975999999999</v>
      </c>
    </row>
    <row r="225" spans="1:14" x14ac:dyDescent="0.3">
      <c r="A225" s="2" t="s">
        <v>103</v>
      </c>
      <c r="B225" s="2">
        <v>1</v>
      </c>
      <c r="C225" s="2" t="s">
        <v>189</v>
      </c>
      <c r="D225" s="5">
        <v>46129</v>
      </c>
      <c r="E225" s="9">
        <v>20614627990</v>
      </c>
      <c r="F225" s="10" t="s">
        <v>227</v>
      </c>
      <c r="G225" s="10"/>
      <c r="I225" s="13">
        <f>+[1]!PRODUCTOS[[#This Row],[CANT.]]</f>
        <v>6</v>
      </c>
      <c r="J225" s="17"/>
      <c r="K225" s="19" t="s">
        <v>519</v>
      </c>
      <c r="L225" s="20" t="s">
        <v>520</v>
      </c>
      <c r="M225" s="16">
        <f>+[1]!PRODUCTOS[[#This Row],[PRECIO]]*18%+[1]!PRODUCTOS[[#This Row],[PRECIO]]</f>
        <v>16.129998199999999</v>
      </c>
      <c r="N225" s="16">
        <f>+[1]!PRODUCTOS[[#This Row],[PRECIOCIGV]]*[1]!PRODUCTOS[[#This Row],[CANTIDAD]]</f>
        <v>96.779989199999989</v>
      </c>
    </row>
    <row r="226" spans="1:14" x14ac:dyDescent="0.3">
      <c r="A226" s="2" t="s">
        <v>103</v>
      </c>
      <c r="B226" s="2">
        <v>1</v>
      </c>
      <c r="C226" s="2" t="s">
        <v>189</v>
      </c>
      <c r="D226" s="5">
        <v>46129</v>
      </c>
      <c r="E226" s="9">
        <v>20614627990</v>
      </c>
      <c r="F226" s="10" t="s">
        <v>227</v>
      </c>
      <c r="G226" s="10"/>
      <c r="I226" s="13">
        <f>+[1]!PRODUCTOS[[#This Row],[CANT.]]</f>
        <v>6</v>
      </c>
      <c r="J226" s="17" t="s">
        <v>250</v>
      </c>
      <c r="K226" s="19" t="s">
        <v>521</v>
      </c>
      <c r="L226" s="20" t="s">
        <v>522</v>
      </c>
      <c r="M226" s="16">
        <f>+[1]!PRODUCTOS[[#This Row],[PRECIO]]*18%+[1]!PRODUCTOS[[#This Row],[PRECIO]]</f>
        <v>8.0400007999999996</v>
      </c>
      <c r="N226" s="16">
        <f>+[1]!PRODUCTOS[[#This Row],[PRECIOCIGV]]*[1]!PRODUCTOS[[#This Row],[CANTIDAD]]</f>
        <v>48.240004799999994</v>
      </c>
    </row>
    <row r="227" spans="1:14" x14ac:dyDescent="0.3">
      <c r="A227" s="2" t="s">
        <v>103</v>
      </c>
      <c r="B227" s="2">
        <v>1</v>
      </c>
      <c r="C227" s="2" t="s">
        <v>189</v>
      </c>
      <c r="D227" s="5">
        <v>46129</v>
      </c>
      <c r="E227" s="9">
        <v>20614627990</v>
      </c>
      <c r="F227" s="10" t="s">
        <v>227</v>
      </c>
      <c r="G227" s="10"/>
      <c r="I227" s="13">
        <f>+[1]!PRODUCTOS[[#This Row],[CANT.]]</f>
        <v>15</v>
      </c>
      <c r="J227" s="17" t="s">
        <v>250</v>
      </c>
      <c r="K227" s="19" t="s">
        <v>523</v>
      </c>
      <c r="L227" s="20" t="s">
        <v>524</v>
      </c>
      <c r="M227" s="16">
        <f>+[1]!PRODUCTOS[[#This Row],[PRECIO]]*18%+[1]!PRODUCTOS[[#This Row],[PRECIO]]</f>
        <v>12.1700008</v>
      </c>
      <c r="N227" s="16">
        <f>+[1]!PRODUCTOS[[#This Row],[PRECIOCIGV]]*[1]!PRODUCTOS[[#This Row],[CANTIDAD]]</f>
        <v>182.55001200000001</v>
      </c>
    </row>
    <row r="228" spans="1:14" x14ac:dyDescent="0.3">
      <c r="A228" s="2" t="s">
        <v>103</v>
      </c>
      <c r="B228" s="2">
        <v>1</v>
      </c>
      <c r="C228" s="2" t="s">
        <v>189</v>
      </c>
      <c r="D228" s="5">
        <v>46129</v>
      </c>
      <c r="E228" s="9">
        <v>20614627990</v>
      </c>
      <c r="F228" s="10" t="s">
        <v>227</v>
      </c>
      <c r="G228" s="10"/>
      <c r="I228" s="13">
        <f>+[1]!PRODUCTOS[[#This Row],[CANT.]]</f>
        <v>25</v>
      </c>
      <c r="J228" s="17" t="s">
        <v>250</v>
      </c>
      <c r="K228" s="19" t="s">
        <v>523</v>
      </c>
      <c r="L228" s="20" t="s">
        <v>524</v>
      </c>
      <c r="M228" s="16">
        <f>+[1]!PRODUCTOS[[#This Row],[PRECIO]]*18%+[1]!PRODUCTOS[[#This Row],[PRECIO]]</f>
        <v>7.730003</v>
      </c>
      <c r="N228" s="16">
        <f>+[1]!PRODUCTOS[[#This Row],[PRECIOCIGV]]*[1]!PRODUCTOS[[#This Row],[CANTIDAD]]</f>
        <v>193.25007500000001</v>
      </c>
    </row>
    <row r="229" spans="1:14" x14ac:dyDescent="0.3">
      <c r="A229" s="2" t="s">
        <v>103</v>
      </c>
      <c r="B229" s="2">
        <v>1</v>
      </c>
      <c r="C229" s="2" t="s">
        <v>189</v>
      </c>
      <c r="D229" s="5">
        <v>46129</v>
      </c>
      <c r="E229" s="9">
        <v>20614627990</v>
      </c>
      <c r="F229" s="10" t="s">
        <v>227</v>
      </c>
      <c r="G229" s="10"/>
      <c r="I229" s="13">
        <f>+[1]!PRODUCTOS[[#This Row],[CANT.]]</f>
        <v>300</v>
      </c>
      <c r="J229" s="17" t="s">
        <v>250</v>
      </c>
      <c r="K229" s="19" t="s">
        <v>525</v>
      </c>
      <c r="L229" s="20" t="s">
        <v>526</v>
      </c>
      <c r="M229" s="16">
        <f>+[1]!PRODUCTOS[[#This Row],[PRECIO]]*18%+[1]!PRODUCTOS[[#This Row],[PRECIO]]</f>
        <v>1.8700050000000001</v>
      </c>
      <c r="N229" s="16">
        <f>+[1]!PRODUCTOS[[#This Row],[PRECIOCIGV]]*[1]!PRODUCTOS[[#This Row],[CANTIDAD]]</f>
        <v>561.00150000000008</v>
      </c>
    </row>
    <row r="230" spans="1:14" x14ac:dyDescent="0.3">
      <c r="A230" s="2" t="s">
        <v>103</v>
      </c>
      <c r="B230" s="2">
        <v>1</v>
      </c>
      <c r="C230" s="2" t="s">
        <v>189</v>
      </c>
      <c r="D230" s="5">
        <v>46129</v>
      </c>
      <c r="E230" s="9">
        <v>20614627990</v>
      </c>
      <c r="F230" s="10" t="s">
        <v>227</v>
      </c>
      <c r="G230" s="10"/>
      <c r="I230" s="13">
        <f>+[1]!PRODUCTOS[[#This Row],[CANT.]]</f>
        <v>50</v>
      </c>
      <c r="J230" s="17" t="s">
        <v>250</v>
      </c>
      <c r="K230" s="19" t="s">
        <v>525</v>
      </c>
      <c r="L230" s="20" t="s">
        <v>526</v>
      </c>
      <c r="M230" s="16">
        <f>+[1]!PRODUCTOS[[#This Row],[PRECIO]]*18%+[1]!PRODUCTOS[[#This Row],[PRECIO]]</f>
        <v>7.1000009999999998</v>
      </c>
      <c r="N230" s="16">
        <f>+[1]!PRODUCTOS[[#This Row],[PRECIOCIGV]]*[1]!PRODUCTOS[[#This Row],[CANTIDAD]]</f>
        <v>355.00004999999999</v>
      </c>
    </row>
    <row r="231" spans="1:14" x14ac:dyDescent="0.3">
      <c r="A231" s="2" t="s">
        <v>104</v>
      </c>
      <c r="B231" s="2">
        <v>1</v>
      </c>
      <c r="C231" s="2" t="s">
        <v>191</v>
      </c>
      <c r="D231" s="5">
        <v>46129</v>
      </c>
      <c r="E231" s="9">
        <v>20100029741</v>
      </c>
      <c r="F231" s="10" t="s">
        <v>210</v>
      </c>
      <c r="G231" s="10"/>
      <c r="I231" s="13">
        <v>50</v>
      </c>
      <c r="J231" s="17" t="s">
        <v>250</v>
      </c>
      <c r="K231" s="15" t="s">
        <v>330</v>
      </c>
      <c r="L231" s="16" t="s">
        <v>331</v>
      </c>
      <c r="M231" s="16">
        <v>7.4999997599999997</v>
      </c>
      <c r="N231" s="16">
        <v>374.99998799999997</v>
      </c>
    </row>
    <row r="232" spans="1:14" x14ac:dyDescent="0.3">
      <c r="A232" s="2" t="s">
        <v>105</v>
      </c>
      <c r="B232" s="2">
        <v>1</v>
      </c>
      <c r="C232" s="2" t="s">
        <v>189</v>
      </c>
      <c r="D232" s="5">
        <v>46129</v>
      </c>
      <c r="E232" s="9">
        <v>20613553488</v>
      </c>
      <c r="F232" s="10" t="s">
        <v>197</v>
      </c>
      <c r="G232" s="10"/>
      <c r="I232" s="13">
        <v>2500</v>
      </c>
      <c r="J232" s="13" t="s">
        <v>250</v>
      </c>
      <c r="K232" s="15" t="s">
        <v>251</v>
      </c>
      <c r="L232" s="16" t="s">
        <v>252</v>
      </c>
      <c r="M232" s="16">
        <v>0.77999887999999984</v>
      </c>
      <c r="N232" s="16">
        <v>1949.9971999999996</v>
      </c>
    </row>
    <row r="233" spans="1:14" x14ac:dyDescent="0.3">
      <c r="A233" s="2" t="s">
        <v>106</v>
      </c>
      <c r="B233" s="2">
        <v>1</v>
      </c>
      <c r="C233" s="2" t="s">
        <v>189</v>
      </c>
      <c r="D233" s="5">
        <v>46129</v>
      </c>
      <c r="E233" s="9">
        <v>10454596523</v>
      </c>
      <c r="F233" s="10" t="s">
        <v>223</v>
      </c>
      <c r="G233" s="10"/>
      <c r="I233" s="13">
        <v>1000</v>
      </c>
      <c r="J233" s="17" t="s">
        <v>250</v>
      </c>
      <c r="K233" s="19" t="s">
        <v>527</v>
      </c>
      <c r="L233" s="20" t="s">
        <v>528</v>
      </c>
      <c r="M233" s="24">
        <f>+[1]!PRODUCTOS[[#This Row],[PRECIO]]*18%+[1]!PRODUCTOS[[#This Row],[PRECIO]]</f>
        <v>6.9200037999999999</v>
      </c>
      <c r="N233" s="16">
        <f>+[1]!PRODUCTOS[[#This Row],[PRECIOCIGV]]*[1]!PRODUCTOS[[#This Row],[CANTIDAD]]</f>
        <v>96.880053199999992</v>
      </c>
    </row>
    <row r="234" spans="1:14" x14ac:dyDescent="0.3">
      <c r="A234" s="2" t="s">
        <v>106</v>
      </c>
      <c r="B234" s="2">
        <v>1</v>
      </c>
      <c r="C234" s="2" t="s">
        <v>189</v>
      </c>
      <c r="D234" s="5">
        <v>46129</v>
      </c>
      <c r="E234" s="9">
        <v>10454596523</v>
      </c>
      <c r="F234" s="10" t="s">
        <v>223</v>
      </c>
      <c r="G234" s="10"/>
      <c r="I234" s="13">
        <v>1000</v>
      </c>
      <c r="J234" s="17" t="s">
        <v>250</v>
      </c>
      <c r="K234" s="15" t="s">
        <v>527</v>
      </c>
      <c r="L234" s="16" t="s">
        <v>528</v>
      </c>
      <c r="M234" s="24">
        <f>+[1]!PRODUCTOS[[#This Row],[PRECIO]]*18%+[1]!PRODUCTOS[[#This Row],[PRECIO]]</f>
        <v>20.580002400000001</v>
      </c>
      <c r="N234" s="16">
        <f>+[1]!PRODUCTOS[[#This Row],[PRECIOCIGV]]*[1]!PRODUCTOS[[#This Row],[CANTIDAD]]</f>
        <v>617.40007200000002</v>
      </c>
    </row>
    <row r="235" spans="1:14" x14ac:dyDescent="0.3">
      <c r="A235" s="2" t="s">
        <v>106</v>
      </c>
      <c r="B235" s="2">
        <v>1</v>
      </c>
      <c r="C235" s="2" t="s">
        <v>189</v>
      </c>
      <c r="D235" s="5">
        <v>46129</v>
      </c>
      <c r="E235" s="9">
        <v>10454596523</v>
      </c>
      <c r="F235" s="10" t="s">
        <v>223</v>
      </c>
      <c r="G235" s="10"/>
      <c r="I235" s="13">
        <v>1000</v>
      </c>
      <c r="J235" s="17" t="s">
        <v>250</v>
      </c>
      <c r="K235" s="15" t="s">
        <v>527</v>
      </c>
      <c r="L235" s="16" t="s">
        <v>528</v>
      </c>
      <c r="M235" s="24">
        <f>+[1]!PRODUCTOS[[#This Row],[PRECIO]]*18%+[1]!PRODUCTOS[[#This Row],[PRECIO]]</f>
        <v>7.4999997599999997</v>
      </c>
      <c r="N235" s="16">
        <f>+[1]!PRODUCTOS[[#This Row],[PRECIOCIGV]]*[1]!PRODUCTOS[[#This Row],[CANTIDAD]]</f>
        <v>374.99998799999997</v>
      </c>
    </row>
    <row r="236" spans="1:14" x14ac:dyDescent="0.3">
      <c r="A236" s="2" t="s">
        <v>106</v>
      </c>
      <c r="B236" s="2">
        <v>1</v>
      </c>
      <c r="C236" s="2" t="s">
        <v>189</v>
      </c>
      <c r="D236" s="5">
        <v>46129</v>
      </c>
      <c r="E236" s="9">
        <v>10454596523</v>
      </c>
      <c r="F236" s="10" t="s">
        <v>223</v>
      </c>
      <c r="G236" s="10"/>
      <c r="I236" s="13">
        <v>1000</v>
      </c>
      <c r="J236" s="17" t="s">
        <v>250</v>
      </c>
      <c r="K236" s="19" t="s">
        <v>529</v>
      </c>
      <c r="L236" s="20" t="s">
        <v>530</v>
      </c>
      <c r="M236" s="24">
        <f>+[1]!PRODUCTOS[[#This Row],[PRECIO]]*18%+[1]!PRODUCTOS[[#This Row],[PRECIO]]</f>
        <v>0.77999887999999995</v>
      </c>
      <c r="N236" s="16">
        <f>+[1]!PRODUCTOS[[#This Row],[PRECIOCIGV]]*[1]!PRODUCTOS[[#This Row],[CANTIDAD]]</f>
        <v>1949.9971999999996</v>
      </c>
    </row>
    <row r="237" spans="1:14" x14ac:dyDescent="0.3">
      <c r="A237" s="2" t="s">
        <v>106</v>
      </c>
      <c r="B237" s="2">
        <v>1</v>
      </c>
      <c r="C237" s="2" t="s">
        <v>189</v>
      </c>
      <c r="D237" s="5">
        <v>46129</v>
      </c>
      <c r="E237" s="9">
        <v>10454596523</v>
      </c>
      <c r="F237" s="10" t="s">
        <v>223</v>
      </c>
      <c r="G237" s="10"/>
      <c r="I237" s="13">
        <v>1000</v>
      </c>
      <c r="J237" s="17" t="s">
        <v>250</v>
      </c>
      <c r="K237" s="19" t="s">
        <v>531</v>
      </c>
      <c r="L237" s="20" t="s">
        <v>532</v>
      </c>
      <c r="M237" s="24">
        <f>+[1]!PRODUCTOS[[#This Row],[PRECIO]]*18%+[1]!PRODUCTOS[[#This Row],[PRECIO]]</f>
        <v>1.2199999999943999E-2</v>
      </c>
      <c r="N237" s="16">
        <f>+[1]!PRODUCTOS[[#This Row],[PRECIOCIGV]]*[1]!PRODUCTOS[[#This Row],[CANTIDAD]]</f>
        <v>12.199999999943998</v>
      </c>
    </row>
    <row r="238" spans="1:14" x14ac:dyDescent="0.3">
      <c r="A238" s="2" t="s">
        <v>106</v>
      </c>
      <c r="B238" s="2">
        <v>1</v>
      </c>
      <c r="C238" s="2" t="s">
        <v>189</v>
      </c>
      <c r="D238" s="5">
        <v>46129</v>
      </c>
      <c r="E238" s="9">
        <v>10454596523</v>
      </c>
      <c r="F238" s="10" t="s">
        <v>223</v>
      </c>
      <c r="G238" s="10"/>
      <c r="I238" s="13">
        <v>1000</v>
      </c>
      <c r="J238" s="17" t="s">
        <v>250</v>
      </c>
      <c r="K238" s="19" t="s">
        <v>533</v>
      </c>
      <c r="L238" s="20" t="s">
        <v>534</v>
      </c>
      <c r="M238" s="24">
        <f>+[1]!PRODUCTOS[[#This Row],[PRECIO]]*18%+[1]!PRODUCTOS[[#This Row],[PRECIO]]</f>
        <v>1.2899999999963999E-2</v>
      </c>
      <c r="N238" s="16">
        <f>+[1]!PRODUCTOS[[#This Row],[PRECIOCIGV]]*[1]!PRODUCTOS[[#This Row],[CANTIDAD]]</f>
        <v>12.899999999963999</v>
      </c>
    </row>
    <row r="239" spans="1:14" x14ac:dyDescent="0.3">
      <c r="A239" s="2" t="s">
        <v>106</v>
      </c>
      <c r="B239" s="2">
        <v>1</v>
      </c>
      <c r="C239" s="2" t="s">
        <v>189</v>
      </c>
      <c r="D239" s="5">
        <v>46129</v>
      </c>
      <c r="E239" s="9">
        <v>10454596523</v>
      </c>
      <c r="F239" s="10" t="s">
        <v>223</v>
      </c>
      <c r="G239" s="10"/>
      <c r="I239" s="13">
        <v>1000</v>
      </c>
      <c r="J239" s="17" t="s">
        <v>250</v>
      </c>
      <c r="K239" s="19" t="s">
        <v>529</v>
      </c>
      <c r="L239" s="20" t="s">
        <v>530</v>
      </c>
      <c r="M239" s="24">
        <f>+[1]!PRODUCTOS[[#This Row],[PRECIO]]*18%+[1]!PRODUCTOS[[#This Row],[PRECIO]]</f>
        <v>1.369999999997E-2</v>
      </c>
      <c r="N239" s="16">
        <f>+[1]!PRODUCTOS[[#This Row],[PRECIOCIGV]]*[1]!PRODUCTOS[[#This Row],[CANTIDAD]]</f>
        <v>13.69999999997</v>
      </c>
    </row>
    <row r="240" spans="1:14" x14ac:dyDescent="0.3">
      <c r="A240" s="2" t="s">
        <v>106</v>
      </c>
      <c r="B240" s="2">
        <v>1</v>
      </c>
      <c r="C240" s="2" t="s">
        <v>189</v>
      </c>
      <c r="D240" s="5">
        <v>46129</v>
      </c>
      <c r="E240" s="9">
        <v>10454596523</v>
      </c>
      <c r="F240" s="10" t="s">
        <v>223</v>
      </c>
      <c r="G240" s="10"/>
      <c r="I240" s="13">
        <v>1000</v>
      </c>
      <c r="J240" s="17" t="s">
        <v>250</v>
      </c>
      <c r="K240" s="19" t="s">
        <v>531</v>
      </c>
      <c r="L240" s="20" t="s">
        <v>532</v>
      </c>
      <c r="M240" s="24">
        <f>+[1]!PRODUCTOS[[#This Row],[PRECIO]]*18%+[1]!PRODUCTOS[[#This Row],[PRECIO]]</f>
        <v>1.4900000000037997E-2</v>
      </c>
      <c r="N240" s="16">
        <f>+[1]!PRODUCTOS[[#This Row],[PRECIOCIGV]]*[1]!PRODUCTOS[[#This Row],[CANTIDAD]]</f>
        <v>14.900000000037997</v>
      </c>
    </row>
    <row r="241" spans="1:14" x14ac:dyDescent="0.3">
      <c r="A241" s="2" t="s">
        <v>106</v>
      </c>
      <c r="B241" s="2">
        <v>1</v>
      </c>
      <c r="C241" s="2" t="s">
        <v>189</v>
      </c>
      <c r="D241" s="5">
        <v>46129</v>
      </c>
      <c r="E241" s="9">
        <v>10454596523</v>
      </c>
      <c r="F241" s="10" t="s">
        <v>223</v>
      </c>
      <c r="G241" s="10"/>
      <c r="I241" s="13">
        <v>1000</v>
      </c>
      <c r="J241" s="17" t="s">
        <v>250</v>
      </c>
      <c r="K241" s="19" t="s">
        <v>533</v>
      </c>
      <c r="L241" s="20" t="s">
        <v>534</v>
      </c>
      <c r="M241" s="24">
        <f>+[1]!PRODUCTOS[[#This Row],[PRECIO]]*18%+[1]!PRODUCTOS[[#This Row],[PRECIO]]</f>
        <v>1.9799999999941999E-2</v>
      </c>
      <c r="N241" s="16">
        <f>+[1]!PRODUCTOS[[#This Row],[PRECIOCIGV]]*[1]!PRODUCTOS[[#This Row],[CANTIDAD]]</f>
        <v>19.799999999941999</v>
      </c>
    </row>
    <row r="242" spans="1:14" x14ac:dyDescent="0.3">
      <c r="A242" s="2" t="s">
        <v>106</v>
      </c>
      <c r="B242" s="2">
        <v>1</v>
      </c>
      <c r="C242" s="2" t="s">
        <v>189</v>
      </c>
      <c r="D242" s="5">
        <v>46129</v>
      </c>
      <c r="E242" s="9">
        <v>10454596523</v>
      </c>
      <c r="F242" s="10" t="s">
        <v>223</v>
      </c>
      <c r="G242" s="10"/>
      <c r="I242" s="13">
        <v>1000</v>
      </c>
      <c r="J242" s="17" t="s">
        <v>250</v>
      </c>
      <c r="K242" s="19" t="s">
        <v>533</v>
      </c>
      <c r="L242" s="20" t="s">
        <v>534</v>
      </c>
      <c r="M242" s="24">
        <f>+[1]!PRODUCTOS[[#This Row],[PRECIO]]*18%+[1]!PRODUCTOS[[#This Row],[PRECIO]]</f>
        <v>2.0000000000032003E-2</v>
      </c>
      <c r="N242" s="16">
        <f>+[1]!PRODUCTOS[[#This Row],[PRECIOCIGV]]*[1]!PRODUCTOS[[#This Row],[CANTIDAD]]</f>
        <v>20.000000000032003</v>
      </c>
    </row>
    <row r="243" spans="1:14" x14ac:dyDescent="0.3">
      <c r="A243" s="2" t="s">
        <v>106</v>
      </c>
      <c r="B243" s="2">
        <v>1</v>
      </c>
      <c r="C243" s="2" t="s">
        <v>189</v>
      </c>
      <c r="D243" s="5">
        <v>46129</v>
      </c>
      <c r="E243" s="9">
        <v>10454596523</v>
      </c>
      <c r="F243" s="10" t="s">
        <v>223</v>
      </c>
      <c r="G243" s="10"/>
      <c r="I243" s="13">
        <v>1000</v>
      </c>
      <c r="J243" s="17" t="s">
        <v>250</v>
      </c>
      <c r="K243" s="19" t="s">
        <v>535</v>
      </c>
      <c r="L243" s="20" t="s">
        <v>536</v>
      </c>
      <c r="M243" s="24">
        <f>+[1]!PRODUCTOS[[#This Row],[PRECIO]]*18%+[1]!PRODUCTOS[[#This Row],[PRECIO]]</f>
        <v>1.6000000000001999E-2</v>
      </c>
      <c r="N243" s="16">
        <f>+[1]!PRODUCTOS[[#This Row],[PRECIOCIGV]]*[1]!PRODUCTOS[[#This Row],[CANTIDAD]]</f>
        <v>16.000000000002</v>
      </c>
    </row>
    <row r="244" spans="1:14" x14ac:dyDescent="0.3">
      <c r="A244" s="2" t="s">
        <v>106</v>
      </c>
      <c r="B244" s="2">
        <v>1</v>
      </c>
      <c r="C244" s="2" t="s">
        <v>189</v>
      </c>
      <c r="D244" s="5">
        <v>46129</v>
      </c>
      <c r="E244" s="9">
        <v>10454596523</v>
      </c>
      <c r="F244" s="10" t="s">
        <v>223</v>
      </c>
      <c r="G244" s="10"/>
      <c r="I244" s="13">
        <v>1000</v>
      </c>
      <c r="J244" s="17" t="s">
        <v>250</v>
      </c>
      <c r="K244" s="19" t="s">
        <v>537</v>
      </c>
      <c r="L244" s="20" t="s">
        <v>538</v>
      </c>
      <c r="M244" s="24">
        <f>+[1]!PRODUCTOS[[#This Row],[PRECIO]]*18%+[1]!PRODUCTOS[[#This Row],[PRECIO]]</f>
        <v>1.77E-2</v>
      </c>
      <c r="N244" s="16">
        <f>+[1]!PRODUCTOS[[#This Row],[PRECIOCIGV]]*[1]!PRODUCTOS[[#This Row],[CANTIDAD]]</f>
        <v>17.7</v>
      </c>
    </row>
    <row r="245" spans="1:14" x14ac:dyDescent="0.3">
      <c r="A245" s="2" t="s">
        <v>106</v>
      </c>
      <c r="B245" s="2">
        <v>1</v>
      </c>
      <c r="C245" s="2" t="s">
        <v>189</v>
      </c>
      <c r="D245" s="5">
        <v>46129</v>
      </c>
      <c r="E245" s="9">
        <v>10454596523</v>
      </c>
      <c r="F245" s="10" t="s">
        <v>223</v>
      </c>
      <c r="G245" s="10"/>
      <c r="I245" s="13">
        <v>1000</v>
      </c>
      <c r="J245" s="17" t="s">
        <v>250</v>
      </c>
      <c r="K245" s="19" t="s">
        <v>539</v>
      </c>
      <c r="L245" s="20" t="s">
        <v>540</v>
      </c>
      <c r="M245" s="24">
        <f>+[1]!PRODUCTOS[[#This Row],[PRECIO]]*18%+[1]!PRODUCTOS[[#This Row],[PRECIO]]</f>
        <v>1.9300000000011999E-2</v>
      </c>
      <c r="N245" s="16">
        <f>+[1]!PRODUCTOS[[#This Row],[PRECIOCIGV]]*[1]!PRODUCTOS[[#This Row],[CANTIDAD]]</f>
        <v>19.300000000011998</v>
      </c>
    </row>
    <row r="246" spans="1:14" x14ac:dyDescent="0.3">
      <c r="A246" s="2" t="s">
        <v>106</v>
      </c>
      <c r="B246" s="2">
        <v>1</v>
      </c>
      <c r="C246" s="2" t="s">
        <v>189</v>
      </c>
      <c r="D246" s="5">
        <v>46129</v>
      </c>
      <c r="E246" s="9">
        <v>10454596523</v>
      </c>
      <c r="F246" s="10" t="s">
        <v>223</v>
      </c>
      <c r="G246" s="10"/>
      <c r="I246" s="13">
        <v>1000</v>
      </c>
      <c r="J246" s="17" t="s">
        <v>250</v>
      </c>
      <c r="K246" s="19" t="s">
        <v>541</v>
      </c>
      <c r="L246" s="20" t="s">
        <v>542</v>
      </c>
      <c r="M246" s="24">
        <f>+[1]!PRODUCTOS[[#This Row],[PRECIO]]*18%+[1]!PRODUCTOS[[#This Row],[PRECIO]]</f>
        <v>2.0800000000038E-2</v>
      </c>
      <c r="N246" s="16">
        <f>+[1]!PRODUCTOS[[#This Row],[PRECIOCIGV]]*[1]!PRODUCTOS[[#This Row],[CANTIDAD]]</f>
        <v>20.800000000038001</v>
      </c>
    </row>
    <row r="247" spans="1:14" x14ac:dyDescent="0.3">
      <c r="A247" s="2" t="s">
        <v>106</v>
      </c>
      <c r="B247" s="2">
        <v>1</v>
      </c>
      <c r="C247" s="2" t="s">
        <v>189</v>
      </c>
      <c r="D247" s="5">
        <v>46129</v>
      </c>
      <c r="E247" s="9">
        <v>10454596523</v>
      </c>
      <c r="F247" s="10" t="s">
        <v>223</v>
      </c>
      <c r="G247" s="10"/>
      <c r="I247" s="13">
        <v>1000</v>
      </c>
      <c r="J247" s="17" t="s">
        <v>250</v>
      </c>
      <c r="K247" s="19" t="s">
        <v>543</v>
      </c>
      <c r="L247" s="20" t="s">
        <v>544</v>
      </c>
      <c r="M247" s="24">
        <f>+[1]!PRODUCTOS[[#This Row],[PRECIO]]*18%+[1]!PRODUCTOS[[#This Row],[PRECIO]]</f>
        <v>2.2299999999945998E-2</v>
      </c>
      <c r="N247" s="16">
        <f>+[1]!PRODUCTOS[[#This Row],[PRECIOCIGV]]*[1]!PRODUCTOS[[#This Row],[CANTIDAD]]</f>
        <v>22.299999999945999</v>
      </c>
    </row>
    <row r="248" spans="1:14" x14ac:dyDescent="0.3">
      <c r="A248" s="2" t="s">
        <v>106</v>
      </c>
      <c r="B248" s="2">
        <v>1</v>
      </c>
      <c r="C248" s="2" t="s">
        <v>189</v>
      </c>
      <c r="D248" s="5">
        <v>46129</v>
      </c>
      <c r="E248" s="9">
        <v>10454596523</v>
      </c>
      <c r="F248" s="10" t="s">
        <v>223</v>
      </c>
      <c r="G248" s="10"/>
      <c r="I248" s="13">
        <v>1000</v>
      </c>
      <c r="J248" s="17" t="s">
        <v>250</v>
      </c>
      <c r="K248" s="19" t="s">
        <v>545</v>
      </c>
      <c r="L248" s="20" t="s">
        <v>546</v>
      </c>
      <c r="M248" s="24">
        <f>+[1]!PRODUCTOS[[#This Row],[PRECIO]]*18%+[1]!PRODUCTOS[[#This Row],[PRECIO]]</f>
        <v>2.3300000000042002E-2</v>
      </c>
      <c r="N248" s="16">
        <f>+[1]!PRODUCTOS[[#This Row],[PRECIOCIGV]]*[1]!PRODUCTOS[[#This Row],[CANTIDAD]]</f>
        <v>23.300000000042001</v>
      </c>
    </row>
    <row r="249" spans="1:14" x14ac:dyDescent="0.3">
      <c r="A249" s="2" t="s">
        <v>106</v>
      </c>
      <c r="B249" s="2">
        <v>1</v>
      </c>
      <c r="C249" s="2" t="s">
        <v>189</v>
      </c>
      <c r="D249" s="5">
        <v>46129</v>
      </c>
      <c r="E249" s="9">
        <v>10454596523</v>
      </c>
      <c r="F249" s="10" t="s">
        <v>223</v>
      </c>
      <c r="G249" s="10"/>
      <c r="I249" s="13">
        <v>1000</v>
      </c>
      <c r="J249" s="17" t="s">
        <v>250</v>
      </c>
      <c r="K249" s="19" t="s">
        <v>545</v>
      </c>
      <c r="L249" s="20" t="s">
        <v>546</v>
      </c>
      <c r="M249" s="24">
        <f>+[1]!PRODUCTOS[[#This Row],[PRECIO]]*18%+[1]!PRODUCTOS[[#This Row],[PRECIO]]</f>
        <v>2.5000000000040001E-2</v>
      </c>
      <c r="N249" s="16">
        <f>+[1]!PRODUCTOS[[#This Row],[PRECIOCIGV]]*[1]!PRODUCTOS[[#This Row],[CANTIDAD]]</f>
        <v>25.00000000004</v>
      </c>
    </row>
    <row r="250" spans="1:14" x14ac:dyDescent="0.3">
      <c r="A250" s="2" t="s">
        <v>106</v>
      </c>
      <c r="B250" s="2">
        <v>1</v>
      </c>
      <c r="C250" s="2" t="s">
        <v>189</v>
      </c>
      <c r="D250" s="5">
        <v>46129</v>
      </c>
      <c r="E250" s="9">
        <v>10454596523</v>
      </c>
      <c r="F250" s="10" t="s">
        <v>223</v>
      </c>
      <c r="G250" s="10"/>
      <c r="I250" s="13">
        <v>1000</v>
      </c>
      <c r="J250" s="17" t="s">
        <v>250</v>
      </c>
      <c r="K250" s="19" t="s">
        <v>547</v>
      </c>
      <c r="L250" s="20" t="s">
        <v>548</v>
      </c>
      <c r="M250" s="24">
        <f>+[1]!PRODUCTOS[[#This Row],[PRECIO]]*18%+[1]!PRODUCTOS[[#This Row],[PRECIO]]</f>
        <v>1.8500000000006001E-2</v>
      </c>
      <c r="N250" s="16">
        <f>+[1]!PRODUCTOS[[#This Row],[PRECIOCIGV]]*[1]!PRODUCTOS[[#This Row],[CANTIDAD]]</f>
        <v>18.500000000006001</v>
      </c>
    </row>
    <row r="251" spans="1:14" x14ac:dyDescent="0.3">
      <c r="A251" s="2" t="s">
        <v>106</v>
      </c>
      <c r="B251" s="2">
        <v>1</v>
      </c>
      <c r="C251" s="2" t="s">
        <v>189</v>
      </c>
      <c r="D251" s="5">
        <v>46129</v>
      </c>
      <c r="E251" s="9">
        <v>10454596523</v>
      </c>
      <c r="F251" s="10" t="s">
        <v>223</v>
      </c>
      <c r="G251" s="10"/>
      <c r="I251" s="13">
        <v>1000</v>
      </c>
      <c r="J251" s="17" t="s">
        <v>250</v>
      </c>
      <c r="K251" s="19" t="s">
        <v>549</v>
      </c>
      <c r="L251" s="20" t="s">
        <v>550</v>
      </c>
      <c r="M251" s="24">
        <f>+[1]!PRODUCTOS[[#This Row],[PRECIO]]*18%+[1]!PRODUCTOS[[#This Row],[PRECIO]]</f>
        <v>2.0000000000032003E-2</v>
      </c>
      <c r="N251" s="16">
        <f>+[1]!PRODUCTOS[[#This Row],[PRECIOCIGV]]*[1]!PRODUCTOS[[#This Row],[CANTIDAD]]</f>
        <v>20.000000000032003</v>
      </c>
    </row>
    <row r="252" spans="1:14" x14ac:dyDescent="0.3">
      <c r="A252" s="2" t="s">
        <v>106</v>
      </c>
      <c r="B252" s="2">
        <v>1</v>
      </c>
      <c r="C252" s="2" t="s">
        <v>189</v>
      </c>
      <c r="D252" s="5">
        <v>46129</v>
      </c>
      <c r="E252" s="9">
        <v>10454596523</v>
      </c>
      <c r="F252" s="10" t="s">
        <v>223</v>
      </c>
      <c r="G252" s="10"/>
      <c r="I252" s="13">
        <v>1000</v>
      </c>
      <c r="J252" s="17" t="s">
        <v>250</v>
      </c>
      <c r="K252" s="19" t="s">
        <v>551</v>
      </c>
      <c r="L252" s="20" t="s">
        <v>552</v>
      </c>
      <c r="M252" s="24">
        <f>+[1]!PRODUCTOS[[#This Row],[PRECIO]]*18%+[1]!PRODUCTOS[[#This Row],[PRECIO]]</f>
        <v>2.1000000000009997E-2</v>
      </c>
      <c r="N252" s="16">
        <f>+[1]!PRODUCTOS[[#This Row],[PRECIOCIGV]]*[1]!PRODUCTOS[[#This Row],[CANTIDAD]]</f>
        <v>21.000000000009997</v>
      </c>
    </row>
    <row r="253" spans="1:14" x14ac:dyDescent="0.3">
      <c r="A253" s="2" t="s">
        <v>106</v>
      </c>
      <c r="B253" s="2">
        <v>1</v>
      </c>
      <c r="C253" s="2" t="s">
        <v>189</v>
      </c>
      <c r="D253" s="5">
        <v>46129</v>
      </c>
      <c r="E253" s="9">
        <v>10454596523</v>
      </c>
      <c r="F253" s="10" t="s">
        <v>223</v>
      </c>
      <c r="G253" s="10"/>
      <c r="I253" s="13">
        <v>1000</v>
      </c>
      <c r="J253" s="17" t="s">
        <v>250</v>
      </c>
      <c r="K253" s="19" t="s">
        <v>541</v>
      </c>
      <c r="L253" s="20" t="s">
        <v>542</v>
      </c>
      <c r="M253" s="24">
        <f>+[1]!PRODUCTOS[[#This Row],[PRECIO]]*18%+[1]!PRODUCTOS[[#This Row],[PRECIO]]</f>
        <v>2.2999999999966003E-2</v>
      </c>
      <c r="N253" s="16">
        <f>+[1]!PRODUCTOS[[#This Row],[PRECIOCIGV]]*[1]!PRODUCTOS[[#This Row],[CANTIDAD]]</f>
        <v>22.999999999966004</v>
      </c>
    </row>
    <row r="254" spans="1:14" x14ac:dyDescent="0.3">
      <c r="A254" s="2" t="s">
        <v>106</v>
      </c>
      <c r="B254" s="2">
        <v>1</v>
      </c>
      <c r="C254" s="2" t="s">
        <v>189</v>
      </c>
      <c r="D254" s="5">
        <v>46129</v>
      </c>
      <c r="E254" s="9">
        <v>10454596523</v>
      </c>
      <c r="F254" s="10" t="s">
        <v>223</v>
      </c>
      <c r="G254" s="10"/>
      <c r="I254" s="13">
        <v>1000</v>
      </c>
      <c r="J254" s="17" t="s">
        <v>250</v>
      </c>
      <c r="K254" s="19" t="s">
        <v>543</v>
      </c>
      <c r="L254" s="20" t="s">
        <v>544</v>
      </c>
      <c r="M254" s="24">
        <f>+[1]!PRODUCTOS[[#This Row],[PRECIO]]*18%+[1]!PRODUCTOS[[#This Row],[PRECIO]]</f>
        <v>2.7199999999968E-2</v>
      </c>
      <c r="N254" s="16">
        <f>+[1]!PRODUCTOS[[#This Row],[PRECIOCIGV]]*[1]!PRODUCTOS[[#This Row],[CANTIDAD]]</f>
        <v>27.199999999968</v>
      </c>
    </row>
    <row r="255" spans="1:14" x14ac:dyDescent="0.3">
      <c r="A255" s="2" t="s">
        <v>106</v>
      </c>
      <c r="B255" s="2">
        <v>1</v>
      </c>
      <c r="C255" s="2" t="s">
        <v>189</v>
      </c>
      <c r="D255" s="5">
        <v>46129</v>
      </c>
      <c r="E255" s="9">
        <v>10454596523</v>
      </c>
      <c r="F255" s="10" t="s">
        <v>223</v>
      </c>
      <c r="G255" s="10"/>
      <c r="I255" s="13">
        <v>1000</v>
      </c>
      <c r="J255" s="17" t="s">
        <v>250</v>
      </c>
      <c r="K255" s="19" t="s">
        <v>545</v>
      </c>
      <c r="L255" s="20" t="s">
        <v>546</v>
      </c>
      <c r="M255" s="24">
        <f>+[1]!PRODUCTOS[[#This Row],[PRECIO]]*18%+[1]!PRODUCTOS[[#This Row],[PRECIO]]</f>
        <v>2.7999999999974001E-2</v>
      </c>
      <c r="N255" s="16">
        <f>+[1]!PRODUCTOS[[#This Row],[PRECIOCIGV]]*[1]!PRODUCTOS[[#This Row],[CANTIDAD]]</f>
        <v>27.999999999974001</v>
      </c>
    </row>
    <row r="256" spans="1:14" x14ac:dyDescent="0.3">
      <c r="A256" s="2" t="s">
        <v>106</v>
      </c>
      <c r="B256" s="2">
        <v>1</v>
      </c>
      <c r="C256" s="2" t="s">
        <v>189</v>
      </c>
      <c r="D256" s="5">
        <v>46129</v>
      </c>
      <c r="E256" s="9">
        <v>10454596523</v>
      </c>
      <c r="F256" s="10" t="s">
        <v>223</v>
      </c>
      <c r="G256" s="10"/>
      <c r="I256" s="13">
        <v>1000</v>
      </c>
      <c r="J256" s="17" t="s">
        <v>250</v>
      </c>
      <c r="K256" s="19" t="s">
        <v>545</v>
      </c>
      <c r="L256" s="20" t="s">
        <v>546</v>
      </c>
      <c r="M256" s="24">
        <f>+[1]!PRODUCTOS[[#This Row],[PRECIO]]*18%+[1]!PRODUCTOS[[#This Row],[PRECIO]]</f>
        <v>3.2999999999982002E-2</v>
      </c>
      <c r="N256" s="16">
        <f>+[1]!PRODUCTOS[[#This Row],[PRECIOCIGV]]*[1]!PRODUCTOS[[#This Row],[CANTIDAD]]</f>
        <v>32.999999999982002</v>
      </c>
    </row>
    <row r="257" spans="1:14" x14ac:dyDescent="0.3">
      <c r="A257" s="2" t="s">
        <v>106</v>
      </c>
      <c r="B257" s="2">
        <v>1</v>
      </c>
      <c r="C257" s="2" t="s">
        <v>189</v>
      </c>
      <c r="D257" s="5">
        <v>46129</v>
      </c>
      <c r="E257" s="9">
        <v>10454596523</v>
      </c>
      <c r="F257" s="10" t="s">
        <v>223</v>
      </c>
      <c r="G257" s="10"/>
      <c r="I257" s="13">
        <v>1000</v>
      </c>
      <c r="J257" s="17" t="s">
        <v>250</v>
      </c>
      <c r="K257" s="19" t="s">
        <v>547</v>
      </c>
      <c r="L257" s="20" t="s">
        <v>548</v>
      </c>
      <c r="M257" s="24">
        <f>+[1]!PRODUCTOS[[#This Row],[PRECIO]]*18%+[1]!PRODUCTOS[[#This Row],[PRECIO]]</f>
        <v>2.1700000000030001E-2</v>
      </c>
      <c r="N257" s="16">
        <f>+[1]!PRODUCTOS[[#This Row],[PRECIOCIGV]]*[1]!PRODUCTOS[[#This Row],[CANTIDAD]]</f>
        <v>21.700000000030002</v>
      </c>
    </row>
    <row r="258" spans="1:14" x14ac:dyDescent="0.3">
      <c r="A258" s="2" t="s">
        <v>106</v>
      </c>
      <c r="B258" s="2">
        <v>1</v>
      </c>
      <c r="C258" s="2" t="s">
        <v>189</v>
      </c>
      <c r="D258" s="5">
        <v>46129</v>
      </c>
      <c r="E258" s="9">
        <v>10454596523</v>
      </c>
      <c r="F258" s="10" t="s">
        <v>223</v>
      </c>
      <c r="G258" s="10"/>
      <c r="I258" s="13">
        <v>1000</v>
      </c>
      <c r="J258" s="17" t="s">
        <v>250</v>
      </c>
      <c r="K258" s="19" t="s">
        <v>549</v>
      </c>
      <c r="L258" s="20" t="s">
        <v>550</v>
      </c>
      <c r="M258" s="24">
        <f>+[1]!PRODUCTOS[[#This Row],[PRECIO]]*18%+[1]!PRODUCTOS[[#This Row],[PRECIO]]</f>
        <v>2.3500000000013999E-2</v>
      </c>
      <c r="N258" s="16">
        <f>+[1]!PRODUCTOS[[#This Row],[PRECIOCIGV]]*[1]!PRODUCTOS[[#This Row],[CANTIDAD]]</f>
        <v>23.500000000013998</v>
      </c>
    </row>
    <row r="259" spans="1:14" x14ac:dyDescent="0.3">
      <c r="A259" s="2" t="s">
        <v>106</v>
      </c>
      <c r="B259" s="2">
        <v>1</v>
      </c>
      <c r="C259" s="2" t="s">
        <v>189</v>
      </c>
      <c r="D259" s="5">
        <v>46129</v>
      </c>
      <c r="E259" s="9">
        <v>10454596523</v>
      </c>
      <c r="F259" s="10" t="s">
        <v>223</v>
      </c>
      <c r="G259" s="10"/>
      <c r="I259" s="13">
        <v>1000</v>
      </c>
      <c r="J259" s="17" t="s">
        <v>250</v>
      </c>
      <c r="K259" s="19" t="s">
        <v>551</v>
      </c>
      <c r="L259" s="20" t="s">
        <v>552</v>
      </c>
      <c r="M259" s="24">
        <f>+[1]!PRODUCTOS[[#This Row],[PRECIO]]*18%+[1]!PRODUCTOS[[#This Row],[PRECIO]]</f>
        <v>2.6000000000018002E-2</v>
      </c>
      <c r="N259" s="16">
        <f>+[1]!PRODUCTOS[[#This Row],[PRECIOCIGV]]*[1]!PRODUCTOS[[#This Row],[CANTIDAD]]</f>
        <v>26.000000000018002</v>
      </c>
    </row>
    <row r="260" spans="1:14" x14ac:dyDescent="0.3">
      <c r="A260" s="2" t="s">
        <v>106</v>
      </c>
      <c r="B260" s="2">
        <v>1</v>
      </c>
      <c r="C260" s="2" t="s">
        <v>189</v>
      </c>
      <c r="D260" s="5">
        <v>46129</v>
      </c>
      <c r="E260" s="9">
        <v>10454596523</v>
      </c>
      <c r="F260" s="10" t="s">
        <v>223</v>
      </c>
      <c r="G260" s="10"/>
      <c r="I260" s="13">
        <v>1000</v>
      </c>
      <c r="J260" s="17" t="s">
        <v>250</v>
      </c>
      <c r="K260" s="19" t="s">
        <v>551</v>
      </c>
      <c r="L260" s="20" t="s">
        <v>552</v>
      </c>
      <c r="M260" s="24">
        <f>+[1]!PRODUCTOS[[#This Row],[PRECIO]]*18%+[1]!PRODUCTOS[[#This Row],[PRECIO]]</f>
        <v>3.1000000000026E-2</v>
      </c>
      <c r="N260" s="16">
        <f>+[1]!PRODUCTOS[[#This Row],[PRECIOCIGV]]*[1]!PRODUCTOS[[#This Row],[CANTIDAD]]</f>
        <v>31.000000000025999</v>
      </c>
    </row>
    <row r="261" spans="1:14" x14ac:dyDescent="0.3">
      <c r="A261" s="2" t="s">
        <v>106</v>
      </c>
      <c r="B261" s="2">
        <v>1</v>
      </c>
      <c r="C261" s="2" t="s">
        <v>189</v>
      </c>
      <c r="D261" s="5">
        <v>46129</v>
      </c>
      <c r="E261" s="9">
        <v>10454596523</v>
      </c>
      <c r="F261" s="10" t="s">
        <v>223</v>
      </c>
      <c r="G261" s="10"/>
      <c r="I261" s="13">
        <v>1000</v>
      </c>
      <c r="J261" s="17" t="s">
        <v>250</v>
      </c>
      <c r="K261" s="19" t="s">
        <v>553</v>
      </c>
      <c r="L261" s="20" t="s">
        <v>554</v>
      </c>
      <c r="M261" s="24">
        <f>+[1]!PRODUCTOS[[#This Row],[PRECIO]]*18%+[1]!PRODUCTOS[[#This Row],[PRECIO]]</f>
        <v>3.2000000000003997E-2</v>
      </c>
      <c r="N261" s="16">
        <f>+[1]!PRODUCTOS[[#This Row],[PRECIOCIGV]]*[1]!PRODUCTOS[[#This Row],[CANTIDAD]]</f>
        <v>32.000000000004</v>
      </c>
    </row>
    <row r="262" spans="1:14" x14ac:dyDescent="0.3">
      <c r="A262" s="2" t="s">
        <v>106</v>
      </c>
      <c r="B262" s="2">
        <v>1</v>
      </c>
      <c r="C262" s="2" t="s">
        <v>189</v>
      </c>
      <c r="D262" s="5">
        <v>46129</v>
      </c>
      <c r="E262" s="9">
        <v>10454596523</v>
      </c>
      <c r="F262" s="10" t="s">
        <v>223</v>
      </c>
      <c r="G262" s="10"/>
      <c r="I262" s="13">
        <v>1000</v>
      </c>
      <c r="J262" s="17" t="s">
        <v>250</v>
      </c>
      <c r="K262" s="19" t="s">
        <v>555</v>
      </c>
      <c r="L262" s="20" t="s">
        <v>556</v>
      </c>
      <c r="M262" s="24">
        <f>+[1]!PRODUCTOS[[#This Row],[PRECIO]]*18%+[1]!PRODUCTOS[[#This Row],[PRECIO]]</f>
        <v>3.7000000000012002E-2</v>
      </c>
      <c r="N262" s="16">
        <f>+[1]!PRODUCTOS[[#This Row],[PRECIOCIGV]]*[1]!PRODUCTOS[[#This Row],[CANTIDAD]]</f>
        <v>37.000000000012001</v>
      </c>
    </row>
    <row r="263" spans="1:14" x14ac:dyDescent="0.3">
      <c r="A263" s="2" t="s">
        <v>106</v>
      </c>
      <c r="B263" s="2">
        <v>1</v>
      </c>
      <c r="C263" s="2" t="s">
        <v>189</v>
      </c>
      <c r="D263" s="5">
        <v>46129</v>
      </c>
      <c r="E263" s="9">
        <v>10454596523</v>
      </c>
      <c r="F263" s="10" t="s">
        <v>223</v>
      </c>
      <c r="G263" s="10"/>
      <c r="I263" s="13">
        <v>1000</v>
      </c>
      <c r="J263" s="17" t="s">
        <v>250</v>
      </c>
      <c r="K263" s="19" t="s">
        <v>557</v>
      </c>
      <c r="L263" s="20" t="s">
        <v>558</v>
      </c>
      <c r="M263" s="24">
        <f>+[1]!PRODUCTOS[[#This Row],[PRECIO]]*18%+[1]!PRODUCTOS[[#This Row],[PRECIO]]</f>
        <v>4.3999999999976003E-2</v>
      </c>
      <c r="N263" s="16">
        <f>+[1]!PRODUCTOS[[#This Row],[PRECIOCIGV]]*[1]!PRODUCTOS[[#This Row],[CANTIDAD]]</f>
        <v>43.999999999976005</v>
      </c>
    </row>
    <row r="264" spans="1:14" x14ac:dyDescent="0.3">
      <c r="A264" s="2" t="s">
        <v>106</v>
      </c>
      <c r="B264" s="2">
        <v>1</v>
      </c>
      <c r="C264" s="2" t="s">
        <v>189</v>
      </c>
      <c r="D264" s="5">
        <v>46129</v>
      </c>
      <c r="E264" s="9">
        <v>10454596523</v>
      </c>
      <c r="F264" s="10" t="s">
        <v>223</v>
      </c>
      <c r="G264" s="10"/>
      <c r="I264" s="13">
        <v>1000</v>
      </c>
      <c r="J264" s="17" t="s">
        <v>250</v>
      </c>
      <c r="K264" s="19" t="s">
        <v>559</v>
      </c>
      <c r="L264" s="20" t="s">
        <v>560</v>
      </c>
      <c r="M264" s="24">
        <f>+[1]!PRODUCTOS[[#This Row],[PRECIO]]*18%+[1]!PRODUCTOS[[#This Row],[PRECIO]]</f>
        <v>4.8000000000005996E-2</v>
      </c>
      <c r="N264" s="16">
        <f>+[1]!PRODUCTOS[[#This Row],[PRECIOCIGV]]*[1]!PRODUCTOS[[#This Row],[CANTIDAD]]</f>
        <v>48.000000000005997</v>
      </c>
    </row>
    <row r="265" spans="1:14" x14ac:dyDescent="0.3">
      <c r="A265" s="2" t="s">
        <v>106</v>
      </c>
      <c r="B265" s="2">
        <v>1</v>
      </c>
      <c r="C265" s="2" t="s">
        <v>189</v>
      </c>
      <c r="D265" s="5">
        <v>46129</v>
      </c>
      <c r="E265" s="9">
        <v>10454596523</v>
      </c>
      <c r="F265" s="10" t="s">
        <v>223</v>
      </c>
      <c r="G265" s="10"/>
      <c r="I265" s="13">
        <v>1000</v>
      </c>
      <c r="J265" s="17" t="s">
        <v>250</v>
      </c>
      <c r="K265" s="19" t="s">
        <v>561</v>
      </c>
      <c r="L265" s="20" t="s">
        <v>562</v>
      </c>
      <c r="M265" s="24">
        <f>+[1]!PRODUCTOS[[#This Row],[PRECIO]]*18%+[1]!PRODUCTOS[[#This Row],[PRECIO]]</f>
        <v>2.8999999999952002E-2</v>
      </c>
      <c r="N265" s="16">
        <f>+[1]!PRODUCTOS[[#This Row],[PRECIOCIGV]]*[1]!PRODUCTOS[[#This Row],[CANTIDAD]]</f>
        <v>28.999999999952003</v>
      </c>
    </row>
    <row r="266" spans="1:14" x14ac:dyDescent="0.3">
      <c r="A266" s="2" t="s">
        <v>106</v>
      </c>
      <c r="B266" s="2">
        <v>1</v>
      </c>
      <c r="C266" s="2" t="s">
        <v>189</v>
      </c>
      <c r="D266" s="5">
        <v>46129</v>
      </c>
      <c r="E266" s="9">
        <v>10454596523</v>
      </c>
      <c r="F266" s="10" t="s">
        <v>223</v>
      </c>
      <c r="G266" s="10"/>
      <c r="I266" s="13">
        <v>1000</v>
      </c>
      <c r="J266" s="17" t="s">
        <v>250</v>
      </c>
      <c r="K266" s="19" t="s">
        <v>561</v>
      </c>
      <c r="L266" s="20" t="s">
        <v>562</v>
      </c>
      <c r="M266" s="24">
        <f>+[1]!PRODUCTOS[[#This Row],[PRECIO]]*18%+[1]!PRODUCTOS[[#This Row],[PRECIO]]</f>
        <v>3.0499999999977996E-2</v>
      </c>
      <c r="N266" s="16">
        <f>+[1]!PRODUCTOS[[#This Row],[PRECIOCIGV]]*[1]!PRODUCTOS[[#This Row],[CANTIDAD]]</f>
        <v>30.499999999977994</v>
      </c>
    </row>
    <row r="267" spans="1:14" x14ac:dyDescent="0.3">
      <c r="A267" s="2" t="s">
        <v>106</v>
      </c>
      <c r="B267" s="2">
        <v>1</v>
      </c>
      <c r="C267" s="2" t="s">
        <v>189</v>
      </c>
      <c r="D267" s="5">
        <v>46129</v>
      </c>
      <c r="E267" s="9">
        <v>10454596523</v>
      </c>
      <c r="F267" s="10" t="s">
        <v>223</v>
      </c>
      <c r="G267" s="10"/>
      <c r="I267" s="13">
        <v>1000</v>
      </c>
      <c r="J267" s="17" t="s">
        <v>250</v>
      </c>
      <c r="K267" s="19" t="s">
        <v>563</v>
      </c>
      <c r="L267" s="20" t="s">
        <v>564</v>
      </c>
      <c r="M267" s="24">
        <f>+[1]!PRODUCTOS[[#This Row],[PRECIO]]*18%+[1]!PRODUCTOS[[#This Row],[PRECIO]]</f>
        <v>4.5500000000001997E-2</v>
      </c>
      <c r="N267" s="16">
        <f>+[1]!PRODUCTOS[[#This Row],[PRECIOCIGV]]*[1]!PRODUCTOS[[#This Row],[CANTIDAD]]</f>
        <v>45.500000000001997</v>
      </c>
    </row>
    <row r="268" spans="1:14" x14ac:dyDescent="0.3">
      <c r="A268" s="2" t="s">
        <v>106</v>
      </c>
      <c r="B268" s="2">
        <v>1</v>
      </c>
      <c r="C268" s="2" t="s">
        <v>189</v>
      </c>
      <c r="D268" s="5">
        <v>46129</v>
      </c>
      <c r="E268" s="9">
        <v>10454596523</v>
      </c>
      <c r="F268" s="10" t="s">
        <v>223</v>
      </c>
      <c r="G268" s="10"/>
      <c r="I268" s="13">
        <v>1000</v>
      </c>
      <c r="J268" s="17" t="s">
        <v>250</v>
      </c>
      <c r="K268" s="19" t="s">
        <v>565</v>
      </c>
      <c r="L268" s="20" t="s">
        <v>566</v>
      </c>
      <c r="M268" s="24">
        <f>+[1]!PRODUCTOS[[#This Row],[PRECIO]]*18%+[1]!PRODUCTOS[[#This Row],[PRECIO]]</f>
        <v>5.3999999999991999E-2</v>
      </c>
      <c r="N268" s="16">
        <f>+[1]!PRODUCTOS[[#This Row],[PRECIOCIGV]]*[1]!PRODUCTOS[[#This Row],[CANTIDAD]]</f>
        <v>53.999999999991999</v>
      </c>
    </row>
    <row r="269" spans="1:14" x14ac:dyDescent="0.3">
      <c r="A269" s="2" t="s">
        <v>106</v>
      </c>
      <c r="B269" s="2">
        <v>1</v>
      </c>
      <c r="C269" s="2" t="s">
        <v>189</v>
      </c>
      <c r="D269" s="5">
        <v>46129</v>
      </c>
      <c r="E269" s="9">
        <v>10454596523</v>
      </c>
      <c r="F269" s="10" t="s">
        <v>223</v>
      </c>
      <c r="G269" s="10"/>
      <c r="I269" s="13">
        <v>1000</v>
      </c>
      <c r="J269" s="17" t="s">
        <v>250</v>
      </c>
      <c r="K269" s="19" t="s">
        <v>567</v>
      </c>
      <c r="L269" s="20" t="s">
        <v>568</v>
      </c>
      <c r="M269" s="24">
        <f>+[1]!PRODUCTOS[[#This Row],[PRECIO]]*18%+[1]!PRODUCTOS[[#This Row],[PRECIO]]</f>
        <v>5.9999999999977995E-2</v>
      </c>
      <c r="N269" s="16">
        <f>+[1]!PRODUCTOS[[#This Row],[PRECIOCIGV]]*[1]!PRODUCTOS[[#This Row],[CANTIDAD]]</f>
        <v>59.999999999977994</v>
      </c>
    </row>
    <row r="270" spans="1:14" x14ac:dyDescent="0.3">
      <c r="A270" s="2" t="s">
        <v>106</v>
      </c>
      <c r="B270" s="2">
        <v>1</v>
      </c>
      <c r="C270" s="2" t="s">
        <v>189</v>
      </c>
      <c r="D270" s="5">
        <v>46129</v>
      </c>
      <c r="E270" s="9">
        <v>10454596523</v>
      </c>
      <c r="F270" s="10" t="s">
        <v>223</v>
      </c>
      <c r="G270" s="10"/>
      <c r="I270" s="13">
        <v>1000</v>
      </c>
      <c r="J270" s="17" t="s">
        <v>250</v>
      </c>
      <c r="K270" s="19" t="s">
        <v>569</v>
      </c>
      <c r="L270" s="20" t="s">
        <v>570</v>
      </c>
      <c r="M270" s="24">
        <f>+[1]!PRODUCTOS[[#This Row],[PRECIO]]*18%+[1]!PRODUCTOS[[#This Row],[PRECIO]]</f>
        <v>6.4999999999986E-2</v>
      </c>
      <c r="N270" s="16">
        <f>+[1]!PRODUCTOS[[#This Row],[PRECIOCIGV]]*[1]!PRODUCTOS[[#This Row],[CANTIDAD]]</f>
        <v>64.999999999986002</v>
      </c>
    </row>
    <row r="271" spans="1:14" x14ac:dyDescent="0.3">
      <c r="A271" s="2" t="s">
        <v>106</v>
      </c>
      <c r="B271" s="2">
        <v>1</v>
      </c>
      <c r="C271" s="2" t="s">
        <v>189</v>
      </c>
      <c r="D271" s="5">
        <v>46129</v>
      </c>
      <c r="E271" s="9">
        <v>10454596523</v>
      </c>
      <c r="F271" s="10" t="s">
        <v>223</v>
      </c>
      <c r="G271" s="10"/>
      <c r="I271" s="13">
        <v>1000</v>
      </c>
      <c r="J271" s="17" t="s">
        <v>250</v>
      </c>
      <c r="K271" s="19" t="s">
        <v>571</v>
      </c>
      <c r="L271" s="20" t="s">
        <v>572</v>
      </c>
      <c r="M271" s="24">
        <f>+[1]!PRODUCTOS[[#This Row],[PRECIO]]*18%+[1]!PRODUCTOS[[#This Row],[PRECIO]]</f>
        <v>5.1799999999945993E-2</v>
      </c>
      <c r="N271" s="16">
        <f>+[1]!PRODUCTOS[[#This Row],[PRECIOCIGV]]*[1]!PRODUCTOS[[#This Row],[CANTIDAD]]</f>
        <v>51.799999999945996</v>
      </c>
    </row>
    <row r="272" spans="1:14" x14ac:dyDescent="0.3">
      <c r="A272" s="2" t="s">
        <v>106</v>
      </c>
      <c r="B272" s="2">
        <v>1</v>
      </c>
      <c r="C272" s="2" t="s">
        <v>189</v>
      </c>
      <c r="D272" s="5">
        <v>46129</v>
      </c>
      <c r="E272" s="9">
        <v>10454596523</v>
      </c>
      <c r="F272" s="10" t="s">
        <v>223</v>
      </c>
      <c r="G272" s="10"/>
      <c r="I272" s="13">
        <v>1000</v>
      </c>
      <c r="J272" s="17" t="s">
        <v>250</v>
      </c>
      <c r="K272" s="19" t="s">
        <v>571</v>
      </c>
      <c r="L272" s="20" t="s">
        <v>572</v>
      </c>
      <c r="M272" s="24">
        <f>+[1]!PRODUCTOS[[#This Row],[PRECIO]]*18%+[1]!PRODUCTOS[[#This Row],[PRECIO]]</f>
        <v>5.3499999999944002E-2</v>
      </c>
      <c r="N272" s="16">
        <f>+[1]!PRODUCTOS[[#This Row],[PRECIOCIGV]]*[1]!PRODUCTOS[[#This Row],[CANTIDAD]]</f>
        <v>53.499999999944002</v>
      </c>
    </row>
    <row r="273" spans="1:14" x14ac:dyDescent="0.3">
      <c r="A273" s="2" t="s">
        <v>106</v>
      </c>
      <c r="B273" s="2">
        <v>1</v>
      </c>
      <c r="C273" s="2" t="s">
        <v>189</v>
      </c>
      <c r="D273" s="5">
        <v>46129</v>
      </c>
      <c r="E273" s="9">
        <v>10454596523</v>
      </c>
      <c r="F273" s="10" t="s">
        <v>223</v>
      </c>
      <c r="G273" s="10"/>
      <c r="I273" s="13">
        <f>+[1]!PRODUCTOS[[#This Row],[CANT.]]</f>
        <v>1</v>
      </c>
      <c r="J273" s="19" t="s">
        <v>250</v>
      </c>
      <c r="K273" s="19" t="s">
        <v>573</v>
      </c>
      <c r="L273" s="20" t="s">
        <v>574</v>
      </c>
      <c r="M273" s="16">
        <f>+[1]!PRODUCTOS[[#This Row],[PRECIO]]*18%+[1]!PRODUCTOS[[#This Row],[PRECIO]]</f>
        <v>6.2000000000052E-2</v>
      </c>
      <c r="N273" s="16">
        <f>+[1]!PRODUCTOS[[#This Row],[PRECIOCIGV]]*[1]!PRODUCTOS[[#This Row],[CANTIDAD]]</f>
        <v>62.000000000051998</v>
      </c>
    </row>
    <row r="274" spans="1:14" x14ac:dyDescent="0.3">
      <c r="A274" s="2" t="s">
        <v>106</v>
      </c>
      <c r="B274" s="2">
        <v>1</v>
      </c>
      <c r="C274" s="2" t="s">
        <v>189</v>
      </c>
      <c r="D274" s="5">
        <v>46129</v>
      </c>
      <c r="E274" s="9">
        <v>10454596523</v>
      </c>
      <c r="F274" s="10" t="s">
        <v>223</v>
      </c>
      <c r="G274" s="10"/>
      <c r="I274" s="13">
        <f>+[1]!PRODUCTOS[[#This Row],[CANT.]]</f>
        <v>1</v>
      </c>
      <c r="J274" s="19" t="s">
        <v>250</v>
      </c>
      <c r="K274" s="19" t="s">
        <v>575</v>
      </c>
      <c r="L274" s="20" t="s">
        <v>576</v>
      </c>
      <c r="M274" s="16">
        <f>+[1]!PRODUCTOS[[#This Row],[PRECIO]]*18%+[1]!PRODUCTOS[[#This Row],[PRECIO]]</f>
        <v>7.500000000000201E-2</v>
      </c>
      <c r="N274" s="16">
        <f>+[1]!PRODUCTOS[[#This Row],[PRECIOCIGV]]*[1]!PRODUCTOS[[#This Row],[CANTIDAD]]</f>
        <v>75.000000000002004</v>
      </c>
    </row>
    <row r="275" spans="1:14" x14ac:dyDescent="0.3">
      <c r="A275" s="2" t="s">
        <v>106</v>
      </c>
      <c r="B275" s="2">
        <v>1</v>
      </c>
      <c r="C275" s="2" t="s">
        <v>189</v>
      </c>
      <c r="D275" s="5">
        <v>46129</v>
      </c>
      <c r="E275" s="9">
        <v>10454596523</v>
      </c>
      <c r="F275" s="10" t="s">
        <v>223</v>
      </c>
      <c r="G275" s="10"/>
      <c r="I275" s="13">
        <f>+[1]!PRODUCTOS[[#This Row],[CANT.]]</f>
        <v>1</v>
      </c>
      <c r="J275" s="19" t="s">
        <v>250</v>
      </c>
      <c r="K275" s="19" t="s">
        <v>577</v>
      </c>
      <c r="L275" s="20" t="s">
        <v>578</v>
      </c>
      <c r="M275" s="16">
        <f>+[1]!PRODUCTOS[[#This Row],[PRECIO]]*18%+[1]!PRODUCTOS[[#This Row],[PRECIO]]</f>
        <v>8.0000000000010008E-2</v>
      </c>
      <c r="N275" s="16">
        <f>+[1]!PRODUCTOS[[#This Row],[PRECIOCIGV]]*[1]!PRODUCTOS[[#This Row],[CANTIDAD]]</f>
        <v>80.000000000010004</v>
      </c>
    </row>
    <row r="276" spans="1:14" x14ac:dyDescent="0.3">
      <c r="A276" s="2" t="s">
        <v>106</v>
      </c>
      <c r="B276" s="2">
        <v>1</v>
      </c>
      <c r="C276" s="2" t="s">
        <v>189</v>
      </c>
      <c r="D276" s="5">
        <v>46129</v>
      </c>
      <c r="E276" s="9">
        <v>10454596523</v>
      </c>
      <c r="F276" s="10" t="s">
        <v>223</v>
      </c>
      <c r="G276" s="10"/>
      <c r="I276" s="13">
        <f>+[1]!PRODUCTOS[[#This Row],[CANT.]]</f>
        <v>1</v>
      </c>
      <c r="J276" s="19" t="s">
        <v>250</v>
      </c>
      <c r="K276" s="19" t="s">
        <v>579</v>
      </c>
      <c r="L276" s="20" t="s">
        <v>580</v>
      </c>
      <c r="M276" s="16">
        <f>+[1]!PRODUCTOS[[#This Row],[PRECIO]]*18%+[1]!PRODUCTOS[[#This Row],[PRECIO]]</f>
        <v>8.5999999999995996E-2</v>
      </c>
      <c r="N276" s="16">
        <f>+[1]!PRODUCTOS[[#This Row],[PRECIOCIGV]]*[1]!PRODUCTOS[[#This Row],[CANTIDAD]]</f>
        <v>85.999999999995993</v>
      </c>
    </row>
    <row r="277" spans="1:14" x14ac:dyDescent="0.3">
      <c r="A277" s="2" t="s">
        <v>106</v>
      </c>
      <c r="B277" s="2">
        <v>1</v>
      </c>
      <c r="C277" s="2" t="s">
        <v>189</v>
      </c>
      <c r="D277" s="5">
        <v>46129</v>
      </c>
      <c r="E277" s="9">
        <v>10454596523</v>
      </c>
      <c r="F277" s="10" t="s">
        <v>223</v>
      </c>
      <c r="G277" s="10"/>
      <c r="I277" s="13">
        <f>+[1]!PRODUCTOS[[#This Row],[CANT.]]</f>
        <v>30</v>
      </c>
      <c r="J277" s="19" t="s">
        <v>250</v>
      </c>
      <c r="K277" s="19" t="s">
        <v>581</v>
      </c>
      <c r="L277" s="20" t="s">
        <v>582</v>
      </c>
      <c r="M277" s="16">
        <f>+[1]!PRODUCTOS[[#This Row],[PRECIO]]*18%+[1]!PRODUCTOS[[#This Row],[PRECIO]]</f>
        <v>0.96999999999399988</v>
      </c>
      <c r="N277" s="16">
        <f>+[1]!PRODUCTOS[[#This Row],[PRECIOCIGV]]*[1]!PRODUCTOS[[#This Row],[CANTIDAD]]</f>
        <v>29.099999999819996</v>
      </c>
    </row>
    <row r="278" spans="1:14" x14ac:dyDescent="0.3">
      <c r="A278" s="2" t="s">
        <v>106</v>
      </c>
      <c r="B278" s="2">
        <v>1</v>
      </c>
      <c r="C278" s="2" t="s">
        <v>189</v>
      </c>
      <c r="D278" s="5">
        <v>46129</v>
      </c>
      <c r="E278" s="9">
        <v>10454596523</v>
      </c>
      <c r="F278" s="10" t="s">
        <v>223</v>
      </c>
      <c r="G278" s="10"/>
      <c r="I278" s="13">
        <f>+[1]!PRODUCTOS[[#This Row],[CANT.]]</f>
        <v>30</v>
      </c>
      <c r="J278" s="19" t="s">
        <v>250</v>
      </c>
      <c r="K278" s="19" t="s">
        <v>583</v>
      </c>
      <c r="L278" s="20" t="s">
        <v>584</v>
      </c>
      <c r="M278" s="16">
        <f>+[1]!PRODUCTOS[[#This Row],[PRECIO]]*18%+[1]!PRODUCTOS[[#This Row],[PRECIO]]</f>
        <v>1.05000000003</v>
      </c>
      <c r="N278" s="16">
        <f>+[1]!PRODUCTOS[[#This Row],[PRECIOCIGV]]*[1]!PRODUCTOS[[#This Row],[CANTIDAD]]</f>
        <v>31.500000000900002</v>
      </c>
    </row>
    <row r="279" spans="1:14" x14ac:dyDescent="0.3">
      <c r="A279" s="2" t="s">
        <v>106</v>
      </c>
      <c r="B279" s="2">
        <v>1</v>
      </c>
      <c r="C279" s="2" t="s">
        <v>189</v>
      </c>
      <c r="D279" s="5">
        <v>46129</v>
      </c>
      <c r="E279" s="9">
        <v>10454596523</v>
      </c>
      <c r="F279" s="10" t="s">
        <v>223</v>
      </c>
      <c r="G279" s="10"/>
      <c r="I279" s="13">
        <f>+[1]!PRODUCTOS[[#This Row],[CANT.]]</f>
        <v>30</v>
      </c>
      <c r="J279" s="19" t="s">
        <v>250</v>
      </c>
      <c r="K279" s="19" t="s">
        <v>585</v>
      </c>
      <c r="L279" s="20" t="s">
        <v>586</v>
      </c>
      <c r="M279" s="16">
        <f>+[1]!PRODUCTOS[[#This Row],[PRECIO]]*18%+[1]!PRODUCTOS[[#This Row],[PRECIO]]</f>
        <v>1.1900000000340001</v>
      </c>
      <c r="N279" s="16">
        <f>+[1]!PRODUCTOS[[#This Row],[PRECIOCIGV]]*[1]!PRODUCTOS[[#This Row],[CANTIDAD]]</f>
        <v>35.700000001020001</v>
      </c>
    </row>
    <row r="280" spans="1:14" x14ac:dyDescent="0.3">
      <c r="A280" s="2" t="s">
        <v>106</v>
      </c>
      <c r="B280" s="2">
        <v>1</v>
      </c>
      <c r="C280" s="2" t="s">
        <v>189</v>
      </c>
      <c r="D280" s="5">
        <v>46129</v>
      </c>
      <c r="E280" s="9">
        <v>10454596523</v>
      </c>
      <c r="F280" s="10" t="s">
        <v>223</v>
      </c>
      <c r="G280" s="10"/>
      <c r="I280" s="13">
        <f>+[1]!PRODUCTOS[[#This Row],[CANT.]]</f>
        <v>30</v>
      </c>
      <c r="J280" s="19" t="s">
        <v>250</v>
      </c>
      <c r="K280" s="19" t="s">
        <v>587</v>
      </c>
      <c r="L280" s="20" t="s">
        <v>588</v>
      </c>
      <c r="M280" s="16">
        <f>+[1]!PRODUCTOS[[#This Row],[PRECIO]]*18%+[1]!PRODUCTOS[[#This Row],[PRECIO]]</f>
        <v>1.4300000000239999</v>
      </c>
      <c r="N280" s="16">
        <f>+[1]!PRODUCTOS[[#This Row],[PRECIOCIGV]]*[1]!PRODUCTOS[[#This Row],[CANTIDAD]]</f>
        <v>42.900000000719999</v>
      </c>
    </row>
    <row r="281" spans="1:14" x14ac:dyDescent="0.3">
      <c r="A281" s="2" t="s">
        <v>106</v>
      </c>
      <c r="B281" s="2">
        <v>1</v>
      </c>
      <c r="C281" s="2" t="s">
        <v>189</v>
      </c>
      <c r="D281" s="5">
        <v>46129</v>
      </c>
      <c r="E281" s="9">
        <v>10454596523</v>
      </c>
      <c r="F281" s="10" t="s">
        <v>223</v>
      </c>
      <c r="G281" s="10"/>
      <c r="I281" s="13">
        <f>+[1]!PRODUCTOS[[#This Row],[CANT.]]</f>
        <v>30</v>
      </c>
      <c r="J281" s="19" t="s">
        <v>250</v>
      </c>
      <c r="K281" s="19" t="s">
        <v>589</v>
      </c>
      <c r="L281" s="20" t="s">
        <v>590</v>
      </c>
      <c r="M281" s="16">
        <f>+[1]!PRODUCTOS[[#This Row],[PRECIO]]*18%+[1]!PRODUCTOS[[#This Row],[PRECIO]]</f>
        <v>2.7399999999940001</v>
      </c>
      <c r="N281" s="16">
        <f>+[1]!PRODUCTOS[[#This Row],[PRECIOCIGV]]*[1]!PRODUCTOS[[#This Row],[CANTIDAD]]</f>
        <v>82.199999999820008</v>
      </c>
    </row>
    <row r="282" spans="1:14" x14ac:dyDescent="0.3">
      <c r="A282" s="2" t="s">
        <v>106</v>
      </c>
      <c r="B282" s="2">
        <v>1</v>
      </c>
      <c r="C282" s="2" t="s">
        <v>189</v>
      </c>
      <c r="D282" s="5">
        <v>46129</v>
      </c>
      <c r="E282" s="9">
        <v>10454596523</v>
      </c>
      <c r="F282" s="10" t="s">
        <v>223</v>
      </c>
      <c r="G282" s="10"/>
      <c r="I282" s="13">
        <f>+[1]!PRODUCTOS[[#This Row],[CANT.]]</f>
        <v>10</v>
      </c>
      <c r="J282" s="19" t="s">
        <v>250</v>
      </c>
      <c r="K282" s="19" t="s">
        <v>591</v>
      </c>
      <c r="L282" s="20" t="s">
        <v>592</v>
      </c>
      <c r="M282" s="16">
        <f>+[1]!PRODUCTOS[[#This Row],[PRECIO]]*18%+[1]!PRODUCTOS[[#This Row],[PRECIO]]</f>
        <v>3.6299999999520001</v>
      </c>
      <c r="N282" s="16">
        <f>+[1]!PRODUCTOS[[#This Row],[PRECIOCIGV]]*[1]!PRODUCTOS[[#This Row],[CANTIDAD]]</f>
        <v>36.299999999519997</v>
      </c>
    </row>
    <row r="283" spans="1:14" x14ac:dyDescent="0.3">
      <c r="A283" s="2" t="s">
        <v>106</v>
      </c>
      <c r="B283" s="2">
        <v>1</v>
      </c>
      <c r="C283" s="2" t="s">
        <v>189</v>
      </c>
      <c r="D283" s="5">
        <v>46129</v>
      </c>
      <c r="E283" s="9">
        <v>10454596523</v>
      </c>
      <c r="F283" s="10" t="s">
        <v>223</v>
      </c>
      <c r="G283" s="10"/>
      <c r="I283" s="13">
        <f>+[1]!PRODUCTOS[[#This Row],[CANT.]]</f>
        <v>10</v>
      </c>
      <c r="J283" s="19" t="s">
        <v>250</v>
      </c>
      <c r="K283" s="19" t="s">
        <v>593</v>
      </c>
      <c r="L283" s="20" t="s">
        <v>594</v>
      </c>
      <c r="M283" s="16">
        <f>+[1]!PRODUCTOS[[#This Row],[PRECIO]]*18%+[1]!PRODUCTOS[[#This Row],[PRECIO]]</f>
        <v>6.8400000000099999</v>
      </c>
      <c r="N283" s="16">
        <f>+[1]!PRODUCTOS[[#This Row],[PRECIOCIGV]]*[1]!PRODUCTOS[[#This Row],[CANTIDAD]]</f>
        <v>68.400000000099993</v>
      </c>
    </row>
    <row r="284" spans="1:14" x14ac:dyDescent="0.3">
      <c r="A284" s="2" t="s">
        <v>106</v>
      </c>
      <c r="B284" s="2">
        <v>1</v>
      </c>
      <c r="C284" s="2" t="s">
        <v>189</v>
      </c>
      <c r="D284" s="5">
        <v>46129</v>
      </c>
      <c r="E284" s="9">
        <v>10454596523</v>
      </c>
      <c r="F284" s="10" t="s">
        <v>223</v>
      </c>
      <c r="G284" s="10"/>
      <c r="I284" s="13">
        <v>1000</v>
      </c>
      <c r="J284" s="17" t="s">
        <v>250</v>
      </c>
      <c r="K284" s="19" t="s">
        <v>595</v>
      </c>
      <c r="L284" s="20" t="s">
        <v>596</v>
      </c>
      <c r="M284" s="24">
        <f>+[1]!PRODUCTOS[[#This Row],[PRECIO]]*18%+[1]!PRODUCTOS[[#This Row],[PRECIO]]</f>
        <v>1.509999999942</v>
      </c>
      <c r="N284" s="16">
        <f>+[1]!PRODUCTOS[[#This Row],[PRECIOCIGV]]*[1]!PRODUCTOS[[#This Row],[CANTIDAD]]</f>
        <v>37.749999998549995</v>
      </c>
    </row>
    <row r="285" spans="1:14" x14ac:dyDescent="0.3">
      <c r="A285" s="2" t="s">
        <v>106</v>
      </c>
      <c r="B285" s="2">
        <v>1</v>
      </c>
      <c r="C285" s="2" t="s">
        <v>189</v>
      </c>
      <c r="D285" s="5">
        <v>46129</v>
      </c>
      <c r="E285" s="9">
        <v>10454596523</v>
      </c>
      <c r="F285" s="10" t="s">
        <v>223</v>
      </c>
      <c r="G285" s="10"/>
      <c r="I285" s="13">
        <v>1000</v>
      </c>
      <c r="J285" s="17" t="s">
        <v>250</v>
      </c>
      <c r="K285" s="19" t="s">
        <v>597</v>
      </c>
      <c r="L285" s="20" t="s">
        <v>598</v>
      </c>
      <c r="M285" s="24">
        <f>+[1]!PRODUCTOS[[#This Row],[PRECIO]]*18%+[1]!PRODUCTOS[[#This Row],[PRECIO]]</f>
        <v>2.1699999999439998</v>
      </c>
      <c r="N285" s="16">
        <f>+[1]!PRODUCTOS[[#This Row],[PRECIOCIGV]]*[1]!PRODUCTOS[[#This Row],[CANTIDAD]]</f>
        <v>54.249999998599996</v>
      </c>
    </row>
    <row r="286" spans="1:14" x14ac:dyDescent="0.3">
      <c r="A286" s="2" t="s">
        <v>106</v>
      </c>
      <c r="B286" s="2">
        <v>1</v>
      </c>
      <c r="C286" s="2" t="s">
        <v>189</v>
      </c>
      <c r="D286" s="5">
        <v>46129</v>
      </c>
      <c r="E286" s="9">
        <v>10454596523</v>
      </c>
      <c r="F286" s="10" t="s">
        <v>223</v>
      </c>
      <c r="G286" s="10"/>
      <c r="I286" s="13">
        <v>1000</v>
      </c>
      <c r="J286" s="17" t="s">
        <v>250</v>
      </c>
      <c r="K286" s="19" t="s">
        <v>555</v>
      </c>
      <c r="L286" s="20" t="s">
        <v>556</v>
      </c>
      <c r="M286" s="24">
        <f>+[1]!PRODUCTOS[[#This Row],[PRECIO]]*18%+[1]!PRODUCTOS[[#This Row],[PRECIO]]</f>
        <v>2.7500000000280003</v>
      </c>
      <c r="N286" s="16">
        <f>+[1]!PRODUCTOS[[#This Row],[PRECIOCIGV]]*[1]!PRODUCTOS[[#This Row],[CANTIDAD]]</f>
        <v>68.750000000700012</v>
      </c>
    </row>
    <row r="287" spans="1:14" x14ac:dyDescent="0.3">
      <c r="A287" s="2" t="s">
        <v>106</v>
      </c>
      <c r="B287" s="2">
        <v>1</v>
      </c>
      <c r="C287" s="2" t="s">
        <v>189</v>
      </c>
      <c r="D287" s="5">
        <v>46129</v>
      </c>
      <c r="E287" s="9">
        <v>10454596523</v>
      </c>
      <c r="F287" s="10" t="s">
        <v>223</v>
      </c>
      <c r="G287" s="10"/>
      <c r="I287" s="13">
        <v>1000</v>
      </c>
      <c r="J287" s="17" t="s">
        <v>250</v>
      </c>
      <c r="K287" s="19" t="s">
        <v>599</v>
      </c>
      <c r="L287" s="20" t="s">
        <v>600</v>
      </c>
      <c r="M287" s="24">
        <f>+[1]!PRODUCTOS[[#This Row],[PRECIO]]*18%+[1]!PRODUCTOS[[#This Row],[PRECIO]]</f>
        <v>3.6100000000020001</v>
      </c>
      <c r="N287" s="16">
        <f>+[1]!PRODUCTOS[[#This Row],[PRECIOCIGV]]*[1]!PRODUCTOS[[#This Row],[CANTIDAD]]</f>
        <v>36.100000000020003</v>
      </c>
    </row>
    <row r="288" spans="1:14" x14ac:dyDescent="0.3">
      <c r="A288" s="2" t="s">
        <v>107</v>
      </c>
      <c r="B288" s="2">
        <v>1</v>
      </c>
      <c r="C288" s="2" t="s">
        <v>189</v>
      </c>
      <c r="D288" s="5">
        <v>46130</v>
      </c>
      <c r="E288" s="9">
        <v>20611809515</v>
      </c>
      <c r="F288" s="10" t="s">
        <v>229</v>
      </c>
      <c r="G288" s="10"/>
      <c r="I288" s="13">
        <f>+[1]!PRODUCTOS[[#This Row],[CANT.]]</f>
        <v>2</v>
      </c>
      <c r="J288" s="19" t="s">
        <v>250</v>
      </c>
      <c r="K288" s="19" t="s">
        <v>601</v>
      </c>
      <c r="L288" s="20" t="s">
        <v>602</v>
      </c>
      <c r="M288" s="16">
        <f>+[1]!PRODUCTOS[[#This Row],[PRECIO]]*18%+[1]!PRODUCTOS[[#This Row],[PRECIO]]</f>
        <v>1.5000000000023999E-2</v>
      </c>
      <c r="N288" s="16">
        <f>+[1]!PRODUCTOS[[#This Row],[CANTIDAD]]*[1]!PRODUCTOS[[#This Row],[PRECIOCIGV]]</f>
        <v>15.000000000023999</v>
      </c>
    </row>
    <row r="289" spans="1:14" x14ac:dyDescent="0.3">
      <c r="A289" s="2" t="s">
        <v>107</v>
      </c>
      <c r="B289" s="2">
        <v>1</v>
      </c>
      <c r="C289" s="2" t="s">
        <v>189</v>
      </c>
      <c r="D289" s="5">
        <v>46130</v>
      </c>
      <c r="E289" s="9">
        <v>20611809515</v>
      </c>
      <c r="F289" s="10" t="s">
        <v>229</v>
      </c>
      <c r="G289" s="10"/>
      <c r="I289" s="13">
        <v>2</v>
      </c>
      <c r="J289" s="19" t="s">
        <v>250</v>
      </c>
      <c r="K289" s="19" t="s">
        <v>603</v>
      </c>
      <c r="L289" s="20" t="s">
        <v>604</v>
      </c>
      <c r="M289" s="16">
        <f>+[1]!PRODUCTOS[[#This Row],[PRECIO]]*18%+[1]!PRODUCTOS[[#This Row],[PRECIO]]</f>
        <v>2.8500000000022001E-2</v>
      </c>
      <c r="N289" s="16">
        <f>+[1]!PRODUCTOS[[#This Row],[CANTIDAD]]*[1]!PRODUCTOS[[#This Row],[PRECIOCIGV]]</f>
        <v>28.500000000022002</v>
      </c>
    </row>
    <row r="290" spans="1:14" x14ac:dyDescent="0.3">
      <c r="A290" s="2" t="s">
        <v>108</v>
      </c>
      <c r="B290" s="2">
        <v>1</v>
      </c>
      <c r="C290" s="2" t="s">
        <v>189</v>
      </c>
      <c r="D290" s="5">
        <v>46130</v>
      </c>
      <c r="E290" s="9">
        <v>20601440963</v>
      </c>
      <c r="F290" s="10" t="s">
        <v>230</v>
      </c>
      <c r="G290" s="10"/>
      <c r="I290" s="13">
        <f>+[1]!PRODUCTOS[[#This Row],[CANT.]]</f>
        <v>1</v>
      </c>
      <c r="J290" s="17" t="s">
        <v>250</v>
      </c>
      <c r="K290" s="19" t="s">
        <v>605</v>
      </c>
      <c r="L290" s="20" t="s">
        <v>606</v>
      </c>
      <c r="M290" s="16">
        <f>+[1]!PRODUCTOS[[#This Row],[PRECIO]]*18%+[1]!PRODUCTOS[[#This Row],[PRECIO]]</f>
        <v>3.5000000000056E-2</v>
      </c>
      <c r="N290" s="16">
        <f>+[1]!PRODUCTOS[[#This Row],[PRECIOCIGV]]*[1]!PRODUCTOS[[#This Row],[CANTIDAD]]</f>
        <v>35.000000000055998</v>
      </c>
    </row>
    <row r="291" spans="1:14" x14ac:dyDescent="0.3">
      <c r="A291" s="2" t="s">
        <v>108</v>
      </c>
      <c r="B291" s="2">
        <v>1</v>
      </c>
      <c r="C291" s="2" t="s">
        <v>189</v>
      </c>
      <c r="D291" s="5">
        <v>46130</v>
      </c>
      <c r="E291" s="9">
        <v>20601440963</v>
      </c>
      <c r="F291" s="10" t="s">
        <v>230</v>
      </c>
      <c r="G291" s="10"/>
      <c r="I291" s="13">
        <f>+[1]!PRODUCTOS[[#This Row],[CANT.]]</f>
        <v>1</v>
      </c>
      <c r="J291" s="17" t="s">
        <v>250</v>
      </c>
      <c r="K291" s="19" t="s">
        <v>607</v>
      </c>
      <c r="L291" s="20" t="s">
        <v>608</v>
      </c>
      <c r="M291" s="16">
        <f>+[1]!PRODUCTOS[[#This Row],[PRECIO]]*18%+[1]!PRODUCTOS[[#This Row],[PRECIO]]</f>
        <v>3.6000000000033998E-2</v>
      </c>
      <c r="N291" s="16">
        <f>+[1]!PRODUCTOS[[#This Row],[PRECIOCIGV]]*[1]!PRODUCTOS[[#This Row],[CANTIDAD]]</f>
        <v>36.000000000033999</v>
      </c>
    </row>
    <row r="292" spans="1:14" x14ac:dyDescent="0.3">
      <c r="A292" s="2" t="s">
        <v>109</v>
      </c>
      <c r="B292" s="2">
        <v>1</v>
      </c>
      <c r="C292" s="2" t="s">
        <v>189</v>
      </c>
      <c r="D292" s="5">
        <v>46132</v>
      </c>
      <c r="E292" s="9">
        <v>20508715332</v>
      </c>
      <c r="F292" s="10" t="s">
        <v>219</v>
      </c>
      <c r="G292" s="10"/>
      <c r="I292" s="13">
        <v>1600</v>
      </c>
      <c r="J292" s="17" t="s">
        <v>262</v>
      </c>
      <c r="K292" s="19" t="s">
        <v>419</v>
      </c>
      <c r="L292" s="20" t="s">
        <v>420</v>
      </c>
      <c r="M292" s="16">
        <v>3.000000022</v>
      </c>
      <c r="N292" s="16">
        <v>4800.0000351999997</v>
      </c>
    </row>
    <row r="293" spans="1:14" x14ac:dyDescent="0.3">
      <c r="A293" s="2" t="s">
        <v>109</v>
      </c>
      <c r="B293" s="2">
        <v>1</v>
      </c>
      <c r="C293" s="2" t="s">
        <v>189</v>
      </c>
      <c r="D293" s="5">
        <v>46132</v>
      </c>
      <c r="E293" s="9">
        <v>20508715332</v>
      </c>
      <c r="F293" s="10" t="s">
        <v>219</v>
      </c>
      <c r="G293" s="10"/>
      <c r="I293" s="13">
        <f>+[1]!PRODUCTOS[[#This Row],[CANT.]]</f>
        <v>2</v>
      </c>
      <c r="J293" s="17" t="s">
        <v>250</v>
      </c>
      <c r="K293" s="19" t="s">
        <v>428</v>
      </c>
      <c r="L293" s="20" t="s">
        <v>429</v>
      </c>
      <c r="M293" s="16">
        <f>+[1]!PRODUCTOS[[#This Row],[PRECIO]]*18%+[1]!PRODUCTOS[[#This Row],[PRECIO]]</f>
        <v>19.499999999983999</v>
      </c>
      <c r="N293" s="16">
        <f>+[1]!PRODUCTOS[[#This Row],[PRECIOCIGV]]*[1]!PRODUCTOS[[#This Row],[CANTIDAD]]</f>
        <v>38.999999999967997</v>
      </c>
    </row>
    <row r="294" spans="1:14" x14ac:dyDescent="0.3">
      <c r="A294" s="2" t="s">
        <v>110</v>
      </c>
      <c r="B294" s="2">
        <v>1</v>
      </c>
      <c r="C294" s="2" t="s">
        <v>189</v>
      </c>
      <c r="D294" s="5">
        <v>46133</v>
      </c>
      <c r="E294" s="9">
        <v>20557030191</v>
      </c>
      <c r="F294" s="10" t="s">
        <v>217</v>
      </c>
      <c r="G294" s="10"/>
      <c r="I294" s="13">
        <f>+[1]!PRODUCTOS[[#This Row],[CANT.]]</f>
        <v>10</v>
      </c>
      <c r="J294" s="17" t="s">
        <v>250</v>
      </c>
      <c r="K294" s="19" t="s">
        <v>609</v>
      </c>
      <c r="L294" s="20" t="s">
        <v>610</v>
      </c>
      <c r="M294" s="16">
        <f>+[1]!PRODUCTOS[[#This Row],[PRECIO]]*18%+[1]!PRODUCTOS[[#This Row],[PRECIO]]</f>
        <v>27.00000008</v>
      </c>
      <c r="N294" s="16">
        <f>+[1]!PRODUCTOS[[#This Row],[PRECIOCIGV]]*[1]!PRODUCTOS[[#This Row],[CANTIDAD]]</f>
        <v>270.00000080000001</v>
      </c>
    </row>
    <row r="295" spans="1:14" x14ac:dyDescent="0.3">
      <c r="A295" s="2" t="s">
        <v>110</v>
      </c>
      <c r="B295" s="2">
        <v>1</v>
      </c>
      <c r="C295" s="2" t="s">
        <v>189</v>
      </c>
      <c r="D295" s="5">
        <v>46133</v>
      </c>
      <c r="E295" s="9">
        <v>20557030191</v>
      </c>
      <c r="F295" s="10" t="s">
        <v>217</v>
      </c>
      <c r="G295" s="10"/>
      <c r="I295" s="13">
        <v>162</v>
      </c>
      <c r="J295" s="17" t="s">
        <v>250</v>
      </c>
      <c r="K295" s="19" t="s">
        <v>611</v>
      </c>
      <c r="L295" s="20" t="s">
        <v>612</v>
      </c>
      <c r="M295" s="16">
        <v>2.9699998199999995</v>
      </c>
      <c r="N295" s="16">
        <v>481.13997083999993</v>
      </c>
    </row>
    <row r="296" spans="1:14" x14ac:dyDescent="0.3">
      <c r="A296" s="2" t="s">
        <v>110</v>
      </c>
      <c r="B296" s="2">
        <v>1</v>
      </c>
      <c r="C296" s="2" t="s">
        <v>189</v>
      </c>
      <c r="D296" s="5">
        <v>46133</v>
      </c>
      <c r="E296" s="9">
        <v>20557030191</v>
      </c>
      <c r="F296" s="10" t="s">
        <v>217</v>
      </c>
      <c r="G296" s="10"/>
      <c r="I296" s="13">
        <v>12</v>
      </c>
      <c r="J296" s="17" t="s">
        <v>250</v>
      </c>
      <c r="K296" s="15" t="s">
        <v>613</v>
      </c>
      <c r="L296" s="16" t="s">
        <v>614</v>
      </c>
      <c r="M296" s="16">
        <v>20.999999800000001</v>
      </c>
      <c r="N296" s="16">
        <v>251.99999760000003</v>
      </c>
    </row>
    <row r="297" spans="1:14" x14ac:dyDescent="0.3">
      <c r="A297" s="2" t="s">
        <v>110</v>
      </c>
      <c r="B297" s="2">
        <v>1</v>
      </c>
      <c r="C297" s="2" t="s">
        <v>189</v>
      </c>
      <c r="D297" s="5">
        <v>46133</v>
      </c>
      <c r="E297" s="9">
        <v>20557030191</v>
      </c>
      <c r="F297" s="10" t="s">
        <v>217</v>
      </c>
      <c r="G297" s="10"/>
      <c r="I297" s="13">
        <v>40</v>
      </c>
      <c r="J297" s="17" t="s">
        <v>250</v>
      </c>
      <c r="K297" s="15" t="s">
        <v>613</v>
      </c>
      <c r="L297" s="16" t="s">
        <v>614</v>
      </c>
      <c r="M297" s="16">
        <v>28.000000519999997</v>
      </c>
      <c r="N297" s="16">
        <v>1120.0000207999999</v>
      </c>
    </row>
    <row r="298" spans="1:14" x14ac:dyDescent="0.3">
      <c r="A298" s="2" t="s">
        <v>111</v>
      </c>
      <c r="B298" s="2">
        <v>1</v>
      </c>
      <c r="C298" s="2" t="s">
        <v>189</v>
      </c>
      <c r="D298" s="5">
        <v>46133</v>
      </c>
      <c r="E298" s="9">
        <v>20512176594</v>
      </c>
      <c r="F298" s="10" t="s">
        <v>231</v>
      </c>
      <c r="G298" s="10"/>
      <c r="I298" s="13">
        <v>50</v>
      </c>
      <c r="J298" s="17" t="s">
        <v>271</v>
      </c>
      <c r="K298" s="19" t="s">
        <v>615</v>
      </c>
      <c r="L298" s="20" t="s">
        <v>616</v>
      </c>
      <c r="M298" s="16">
        <f>+[1]!PRODUCTOS[[#This Row],[PRECIO]]*18%+[1]!PRODUCTOS[[#This Row],[PRECIO]]</f>
        <v>27.100000359999999</v>
      </c>
      <c r="N298" s="16">
        <f>+[1]!PRODUCTOS[[#This Row],[PRECIOCIGV]]*[1]!PRODUCTOS[[#This Row],[CANTIDAD]]</f>
        <v>542.00000720000003</v>
      </c>
    </row>
    <row r="299" spans="1:14" x14ac:dyDescent="0.3">
      <c r="A299" s="2" t="s">
        <v>111</v>
      </c>
      <c r="B299" s="2">
        <v>1</v>
      </c>
      <c r="C299" s="2" t="s">
        <v>189</v>
      </c>
      <c r="D299" s="5">
        <v>46133</v>
      </c>
      <c r="E299" s="9">
        <v>20512176594</v>
      </c>
      <c r="F299" s="10" t="s">
        <v>231</v>
      </c>
      <c r="G299" s="10"/>
      <c r="I299" s="13">
        <f>+[1]!PRODUCTOS[[#This Row],[CANT.]]</f>
        <v>162</v>
      </c>
      <c r="J299" s="17" t="s">
        <v>250</v>
      </c>
      <c r="K299" s="19" t="s">
        <v>525</v>
      </c>
      <c r="L299" s="20" t="s">
        <v>526</v>
      </c>
      <c r="M299" s="16">
        <f>+[1]!PRODUCTOS[[#This Row],[PRECIO]]*18%+[1]!PRODUCTOS[[#This Row],[PRECIO]]</f>
        <v>2.96999982</v>
      </c>
      <c r="N299" s="16">
        <f>+[1]!PRODUCTOS[[#This Row],[PRECIOCIGV]]*[1]!PRODUCTOS[[#This Row],[CANTIDAD]]</f>
        <v>481.13997083999993</v>
      </c>
    </row>
    <row r="300" spans="1:14" x14ac:dyDescent="0.3">
      <c r="A300" s="2" t="s">
        <v>111</v>
      </c>
      <c r="B300" s="2">
        <v>1</v>
      </c>
      <c r="C300" s="2" t="s">
        <v>189</v>
      </c>
      <c r="D300" s="5">
        <v>46133</v>
      </c>
      <c r="E300" s="9">
        <v>20512176594</v>
      </c>
      <c r="F300" s="10" t="s">
        <v>231</v>
      </c>
      <c r="G300" s="10"/>
      <c r="I300" s="13">
        <f>+[1]!PRODUCTOS[[#This Row],[CANT.]]</f>
        <v>12</v>
      </c>
      <c r="J300" s="17" t="s">
        <v>250</v>
      </c>
      <c r="K300" s="19" t="s">
        <v>525</v>
      </c>
      <c r="L300" s="20" t="s">
        <v>526</v>
      </c>
      <c r="M300" s="16">
        <f>+[1]!PRODUCTOS[[#This Row],[PRECIO]]*18%+[1]!PRODUCTOS[[#This Row],[PRECIO]]</f>
        <v>20.999999800000001</v>
      </c>
      <c r="N300" s="16">
        <f>+[1]!PRODUCTOS[[#This Row],[PRECIOCIGV]]*[1]!PRODUCTOS[[#This Row],[CANTIDAD]]</f>
        <v>251.99999760000003</v>
      </c>
    </row>
    <row r="301" spans="1:14" x14ac:dyDescent="0.3">
      <c r="A301" s="2" t="s">
        <v>112</v>
      </c>
      <c r="B301" s="2">
        <v>1</v>
      </c>
      <c r="C301" s="2" t="s">
        <v>189</v>
      </c>
      <c r="D301" s="5">
        <v>46134</v>
      </c>
      <c r="E301" s="9">
        <v>20614322986</v>
      </c>
      <c r="F301" s="10" t="s">
        <v>205</v>
      </c>
      <c r="G301" s="10"/>
      <c r="I301" s="13">
        <f>+[1]!PRODUCTOS[[#This Row],[CANT.]]</f>
        <v>40</v>
      </c>
      <c r="J301" s="17" t="s">
        <v>250</v>
      </c>
      <c r="K301" s="19" t="s">
        <v>617</v>
      </c>
      <c r="L301" s="20" t="s">
        <v>618</v>
      </c>
      <c r="M301" s="16">
        <f>+[1]!PRODUCTOS[[#This Row],[PRECIO]]*18%+[1]!PRODUCTOS[[#This Row],[PRECIO]]</f>
        <v>28.00000052</v>
      </c>
      <c r="N301" s="16">
        <f>+[1]!PRODUCTOS[[#This Row],[PRECIOCIGV]]*[1]!PRODUCTOS[[#This Row],[CANTIDAD]]</f>
        <v>1120.0000207999999</v>
      </c>
    </row>
    <row r="302" spans="1:14" x14ac:dyDescent="0.3">
      <c r="A302" s="2" t="s">
        <v>112</v>
      </c>
      <c r="B302" s="2">
        <v>1</v>
      </c>
      <c r="C302" s="2" t="s">
        <v>189</v>
      </c>
      <c r="D302" s="5">
        <v>46134</v>
      </c>
      <c r="E302" s="9">
        <v>20614322986</v>
      </c>
      <c r="F302" s="10" t="s">
        <v>205</v>
      </c>
      <c r="G302" s="10"/>
      <c r="I302" s="13">
        <f>+[1]!PRODUCTOS[[#This Row],[CANT.]]</f>
        <v>50</v>
      </c>
      <c r="J302" s="17" t="s">
        <v>250</v>
      </c>
      <c r="K302" s="19" t="s">
        <v>525</v>
      </c>
      <c r="L302" s="20" t="s">
        <v>526</v>
      </c>
      <c r="M302" s="16">
        <f>+[1]!PRODUCTOS[[#This Row],[PRECIO]]*18%+[1]!PRODUCTOS[[#This Row],[PRECIO]]</f>
        <v>14.900096</v>
      </c>
      <c r="N302" s="16">
        <f>+[1]!PRODUCTOS[[#This Row],[PRECIOCIGV]]*[1]!PRODUCTOS[[#This Row],[CANTIDAD]]</f>
        <v>745.00479999999993</v>
      </c>
    </row>
    <row r="303" spans="1:14" x14ac:dyDescent="0.3">
      <c r="A303" s="2" t="s">
        <v>112</v>
      </c>
      <c r="B303" s="2">
        <v>1</v>
      </c>
      <c r="C303" s="2" t="s">
        <v>189</v>
      </c>
      <c r="D303" s="5">
        <v>46134</v>
      </c>
      <c r="E303" s="9">
        <v>20614322986</v>
      </c>
      <c r="F303" s="10" t="s">
        <v>205</v>
      </c>
      <c r="G303" s="10"/>
      <c r="I303" s="13">
        <f>+[1]!PRODUCTOS[[#This Row],[CANT.]]</f>
        <v>25</v>
      </c>
      <c r="J303" s="21" t="s">
        <v>250</v>
      </c>
      <c r="K303" s="19" t="s">
        <v>292</v>
      </c>
      <c r="L303" s="20" t="s">
        <v>293</v>
      </c>
      <c r="M303" s="16">
        <f>+[1]!PRODUCTOS[[#This Row],[PRECIO]]*18%+[1]!PRODUCTOS[[#This Row],[PRECIO]]</f>
        <v>9.0000959999999992</v>
      </c>
      <c r="N303" s="16">
        <f>+[1]!PRODUCTOS[[#This Row],[PRECIOCIGV]]*[1]!PRODUCTOS[[#This Row],[CANTIDAD]]</f>
        <v>225.00239999999997</v>
      </c>
    </row>
    <row r="304" spans="1:14" x14ac:dyDescent="0.3">
      <c r="A304" s="2" t="s">
        <v>112</v>
      </c>
      <c r="B304" s="2">
        <v>1</v>
      </c>
      <c r="C304" s="2" t="s">
        <v>189</v>
      </c>
      <c r="D304" s="5">
        <v>46134</v>
      </c>
      <c r="E304" s="9">
        <v>20614322986</v>
      </c>
      <c r="F304" s="10" t="s">
        <v>205</v>
      </c>
      <c r="G304" s="10"/>
      <c r="I304" s="13">
        <f>+[1]!PRODUCTOS[[#This Row],[CANT.]]</f>
        <v>6</v>
      </c>
      <c r="J304" s="21" t="s">
        <v>250</v>
      </c>
      <c r="K304" s="19" t="s">
        <v>292</v>
      </c>
      <c r="L304" s="20" t="s">
        <v>293</v>
      </c>
      <c r="M304" s="16">
        <f>+[1]!PRODUCTOS[[#This Row],[PRECIO]]*18%+[1]!PRODUCTOS[[#This Row],[PRECIO]]</f>
        <v>11.180499999999999</v>
      </c>
      <c r="N304" s="16">
        <f>+[1]!PRODUCTOS[[#This Row],[PRECIOCIGV]]*[1]!PRODUCTOS[[#This Row],[CANTIDAD]]</f>
        <v>67.082999999999998</v>
      </c>
    </row>
    <row r="305" spans="1:15" x14ac:dyDescent="0.3">
      <c r="A305" s="2" t="s">
        <v>112</v>
      </c>
      <c r="B305" s="2">
        <v>1</v>
      </c>
      <c r="C305" s="2" t="s">
        <v>189</v>
      </c>
      <c r="D305" s="5">
        <v>46134</v>
      </c>
      <c r="E305" s="9">
        <v>20614322986</v>
      </c>
      <c r="F305" s="10" t="s">
        <v>205</v>
      </c>
      <c r="G305" s="10"/>
      <c r="I305" s="13">
        <f>+[1]!PRODUCTOS[[#This Row],[CANT.]]</f>
        <v>50</v>
      </c>
      <c r="J305" s="21" t="s">
        <v>250</v>
      </c>
      <c r="K305" s="19" t="s">
        <v>292</v>
      </c>
      <c r="L305" s="20" t="s">
        <v>293</v>
      </c>
      <c r="M305" s="16">
        <f>+[1]!PRODUCTOS[[#This Row],[PRECIO]]*18%+[1]!PRODUCTOS[[#This Row],[PRECIO]]</f>
        <v>1.7999999999840002</v>
      </c>
      <c r="N305" s="16">
        <f>+[1]!PRODUCTOS[[#This Row],[PRECIOCIGV]]*[1]!PRODUCTOS[[#This Row],[CANTIDAD]]</f>
        <v>89.999999999200014</v>
      </c>
    </row>
    <row r="306" spans="1:15" x14ac:dyDescent="0.3">
      <c r="A306" s="2" t="s">
        <v>112</v>
      </c>
      <c r="B306" s="2">
        <v>1</v>
      </c>
      <c r="C306" s="2" t="s">
        <v>189</v>
      </c>
      <c r="D306" s="5">
        <v>46134</v>
      </c>
      <c r="E306" s="9">
        <v>20614322986</v>
      </c>
      <c r="F306" s="10" t="s">
        <v>205</v>
      </c>
      <c r="G306" s="10"/>
      <c r="I306" s="13">
        <f>+[1]!PRODUCTOS[[#This Row],[CANT.]]</f>
        <v>12</v>
      </c>
      <c r="J306" s="21" t="s">
        <v>250</v>
      </c>
      <c r="K306" s="19" t="s">
        <v>292</v>
      </c>
      <c r="L306" s="20" t="s">
        <v>293</v>
      </c>
      <c r="M306" s="16">
        <f>+[1]!PRODUCTOS[[#This Row],[PRECIO]]*18%+[1]!PRODUCTOS[[#This Row],[PRECIO]]</f>
        <v>7.5000000000120002</v>
      </c>
      <c r="N306" s="16">
        <f>+[1]!PRODUCTOS[[#This Row],[PRECIOCIGV]]*[1]!PRODUCTOS[[#This Row],[CANTIDAD]]</f>
        <v>90.000000000143999</v>
      </c>
    </row>
    <row r="307" spans="1:15" x14ac:dyDescent="0.3">
      <c r="A307" s="2" t="s">
        <v>112</v>
      </c>
      <c r="B307" s="2">
        <v>1</v>
      </c>
      <c r="C307" s="2" t="s">
        <v>189</v>
      </c>
      <c r="D307" s="5">
        <v>46134</v>
      </c>
      <c r="E307" s="9">
        <v>20614322986</v>
      </c>
      <c r="F307" s="10" t="s">
        <v>205</v>
      </c>
      <c r="G307" s="10"/>
      <c r="I307" s="13">
        <f>+[1]!PRODUCTOS[[#This Row],[CANT.]]</f>
        <v>24</v>
      </c>
      <c r="J307" s="21" t="s">
        <v>250</v>
      </c>
      <c r="K307" s="19" t="s">
        <v>292</v>
      </c>
      <c r="L307" s="20" t="s">
        <v>293</v>
      </c>
      <c r="M307" s="16">
        <f>+[1]!PRODUCTOS[[#This Row],[PRECIO]]*18%+[1]!PRODUCTOS[[#This Row],[PRECIO]]</f>
        <v>6.5000000000340004</v>
      </c>
      <c r="N307" s="16">
        <f>+[1]!PRODUCTOS[[#This Row],[PRECIOCIGV]]*[1]!PRODUCTOS[[#This Row],[CANTIDAD]]</f>
        <v>156.00000000081602</v>
      </c>
    </row>
    <row r="308" spans="1:15" x14ac:dyDescent="0.3">
      <c r="A308" s="2" t="s">
        <v>112</v>
      </c>
      <c r="B308" s="2">
        <v>1</v>
      </c>
      <c r="C308" s="2" t="s">
        <v>189</v>
      </c>
      <c r="D308" s="5">
        <v>46134</v>
      </c>
      <c r="E308" s="9">
        <v>20614322986</v>
      </c>
      <c r="F308" s="10" t="s">
        <v>205</v>
      </c>
      <c r="G308" s="10"/>
      <c r="I308" s="13">
        <f>+[1]!PRODUCTOS[[#This Row],[CANT.]]</f>
        <v>2</v>
      </c>
      <c r="J308" s="21" t="s">
        <v>250</v>
      </c>
      <c r="K308" s="19" t="s">
        <v>292</v>
      </c>
      <c r="L308" s="20" t="s">
        <v>293</v>
      </c>
      <c r="M308" s="16">
        <f>+[1]!PRODUCTOS[[#This Row],[PRECIO]]*18%+[1]!PRODUCTOS[[#This Row],[PRECIO]]</f>
        <v>0</v>
      </c>
      <c r="N308" s="16">
        <f>+[1]!PRODUCTOS[[#This Row],[PRECIOCIGV]]*[1]!PRODUCTOS[[#This Row],[CANTIDAD]]</f>
        <v>0</v>
      </c>
    </row>
    <row r="309" spans="1:15" x14ac:dyDescent="0.3">
      <c r="A309" s="2" t="s">
        <v>113</v>
      </c>
      <c r="B309" s="2">
        <v>1</v>
      </c>
      <c r="C309" s="2" t="s">
        <v>189</v>
      </c>
      <c r="D309" s="5">
        <v>46135</v>
      </c>
      <c r="E309" s="9">
        <v>20100029741</v>
      </c>
      <c r="F309" s="10" t="s">
        <v>210</v>
      </c>
      <c r="G309" s="10"/>
      <c r="I309" s="13">
        <v>350</v>
      </c>
      <c r="J309" s="17" t="s">
        <v>250</v>
      </c>
      <c r="K309" s="15" t="s">
        <v>260</v>
      </c>
      <c r="L309" s="16" t="s">
        <v>261</v>
      </c>
      <c r="M309" s="16">
        <v>29.799955999999998</v>
      </c>
      <c r="N309" s="16">
        <v>10429.9846</v>
      </c>
    </row>
    <row r="310" spans="1:15" x14ac:dyDescent="0.3">
      <c r="A310" s="2" t="s">
        <v>114</v>
      </c>
      <c r="B310" s="2">
        <v>1</v>
      </c>
      <c r="C310" s="2" t="s">
        <v>189</v>
      </c>
      <c r="D310" s="5">
        <v>46135</v>
      </c>
      <c r="E310" s="9">
        <v>20100029741</v>
      </c>
      <c r="F310" s="10" t="s">
        <v>210</v>
      </c>
      <c r="G310" s="10"/>
      <c r="I310" s="13">
        <v>300</v>
      </c>
      <c r="J310" s="17" t="s">
        <v>250</v>
      </c>
      <c r="K310" s="15" t="s">
        <v>619</v>
      </c>
      <c r="L310" s="16" t="s">
        <v>620</v>
      </c>
      <c r="M310" s="16">
        <v>31.350003999999995</v>
      </c>
      <c r="N310" s="16">
        <v>9405.0011999999988</v>
      </c>
      <c r="O310" s="22" t="s">
        <v>344</v>
      </c>
    </row>
    <row r="311" spans="1:15" x14ac:dyDescent="0.3">
      <c r="A311" s="2" t="s">
        <v>115</v>
      </c>
      <c r="B311" s="2">
        <v>1</v>
      </c>
      <c r="C311" s="2" t="s">
        <v>189</v>
      </c>
      <c r="D311" s="5">
        <v>46135</v>
      </c>
      <c r="E311" s="9">
        <v>20613553488</v>
      </c>
      <c r="F311" s="10" t="s">
        <v>197</v>
      </c>
      <c r="G311" s="10"/>
      <c r="I311" s="13">
        <f>+[1]!PRODUCTOS[[#This Row],[CANT.]]*1000</f>
        <v>12000</v>
      </c>
      <c r="J311" s="17" t="s">
        <v>250</v>
      </c>
      <c r="K311" s="19" t="s">
        <v>351</v>
      </c>
      <c r="L311" s="20" t="s">
        <v>352</v>
      </c>
      <c r="M311" s="16">
        <f>+[1]!PRODUCTOS[[#This Row],[PRECIO]]*18%+[1]!PRODUCTOS[[#This Row],[PRECIO]]</f>
        <v>7.5833300000499992</v>
      </c>
      <c r="N311" s="16">
        <f>+[1]!PRODUCTOS[[#This Row],[PRECIOCIGV]]*[1]!PRODUCTOS[[#This Row],[CANTIDAD]]</f>
        <v>90.999960000599998</v>
      </c>
    </row>
    <row r="312" spans="1:15" x14ac:dyDescent="0.3">
      <c r="A312" s="2" t="s">
        <v>116</v>
      </c>
      <c r="B312" s="2">
        <v>1</v>
      </c>
      <c r="C312" s="2" t="s">
        <v>189</v>
      </c>
      <c r="D312" s="5">
        <v>46137</v>
      </c>
      <c r="E312" s="9">
        <v>20613553488</v>
      </c>
      <c r="F312" s="10" t="s">
        <v>197</v>
      </c>
      <c r="G312" s="10"/>
      <c r="I312" s="13">
        <v>2500</v>
      </c>
      <c r="J312" s="13" t="s">
        <v>250</v>
      </c>
      <c r="K312" s="15" t="s">
        <v>251</v>
      </c>
      <c r="L312" s="16" t="s">
        <v>252</v>
      </c>
      <c r="M312" s="16">
        <v>0.779999942</v>
      </c>
      <c r="N312" s="16">
        <v>1949.999855</v>
      </c>
    </row>
    <row r="313" spans="1:15" x14ac:dyDescent="0.3">
      <c r="A313" s="2" t="s">
        <v>117</v>
      </c>
      <c r="B313" s="2">
        <v>1</v>
      </c>
      <c r="C313" s="2" t="s">
        <v>189</v>
      </c>
      <c r="D313" s="5">
        <v>46138</v>
      </c>
      <c r="E313" s="9">
        <v>20613553488</v>
      </c>
      <c r="F313" s="10" t="s">
        <v>197</v>
      </c>
      <c r="G313" s="10"/>
      <c r="I313" s="13">
        <f>+[1]!PRODUCTOS[[#This Row],[CANT.]]*1000</f>
        <v>350000</v>
      </c>
      <c r="J313" s="17" t="s">
        <v>250</v>
      </c>
      <c r="K313" s="19" t="s">
        <v>351</v>
      </c>
      <c r="L313" s="20" t="s">
        <v>352</v>
      </c>
      <c r="M313" s="16">
        <f>+[1]!PRODUCTOS[[#This Row],[PRECIO]]*18%+[1]!PRODUCTOS[[#This Row],[PRECIO]]</f>
        <v>29.799956000000002</v>
      </c>
      <c r="N313" s="16">
        <f>+[1]!PRODUCTOS[[#This Row],[PRECIOCIGV]]*[1]!PRODUCTOS[[#This Row],[CANTIDAD]]</f>
        <v>10429.9846</v>
      </c>
    </row>
    <row r="314" spans="1:15" x14ac:dyDescent="0.3">
      <c r="A314" s="2" t="s">
        <v>118</v>
      </c>
      <c r="B314" s="2">
        <v>1</v>
      </c>
      <c r="C314" s="2" t="s">
        <v>189</v>
      </c>
      <c r="D314" s="5">
        <v>46139</v>
      </c>
      <c r="E314" s="9">
        <v>20517486893</v>
      </c>
      <c r="F314" s="10" t="s">
        <v>232</v>
      </c>
      <c r="G314" s="10"/>
      <c r="I314" s="13">
        <f>+[1]!PRODUCTOS[[#This Row],[CANT.]]*1000</f>
        <v>300000</v>
      </c>
      <c r="J314" s="19" t="s">
        <v>250</v>
      </c>
      <c r="K314" s="19" t="s">
        <v>351</v>
      </c>
      <c r="L314" s="20" t="s">
        <v>352</v>
      </c>
      <c r="M314" s="16">
        <f>+[1]!PRODUCTOS[[#This Row],[PRECIO]]*18%+[1]!PRODUCTOS[[#This Row],[PRECIO]]</f>
        <v>31.350003999999998</v>
      </c>
      <c r="N314" s="16">
        <f>+[1]!PRODUCTOS[[#This Row],[PRECIOCIGV]]*[1]!PRODUCTOS[[#This Row],[CANTIDAD]]</f>
        <v>9405.0011999999988</v>
      </c>
    </row>
    <row r="315" spans="1:15" x14ac:dyDescent="0.3">
      <c r="A315" s="2" t="s">
        <v>119</v>
      </c>
      <c r="B315" s="2">
        <v>1</v>
      </c>
      <c r="C315" s="2" t="s">
        <v>189</v>
      </c>
      <c r="D315" s="5">
        <v>46139</v>
      </c>
      <c r="E315" s="9">
        <v>20517486893</v>
      </c>
      <c r="F315" s="10" t="s">
        <v>232</v>
      </c>
      <c r="G315" s="10"/>
      <c r="I315" s="13">
        <f>+[1]!PRODUCTOS[[#This Row],[CANT.]]*1000</f>
        <v>2600</v>
      </c>
      <c r="J315" s="19" t="s">
        <v>250</v>
      </c>
      <c r="K315" s="19" t="s">
        <v>351</v>
      </c>
      <c r="L315" s="20" t="s">
        <v>352</v>
      </c>
      <c r="M315" s="16">
        <f>+[1]!PRODUCTOS[[#This Row],[PRECIO]]*18%+[1]!PRODUCTOS[[#This Row],[PRECIO]]</f>
        <v>0.7599998859999999</v>
      </c>
      <c r="N315" s="16">
        <f>+[1]!PRODUCTOS[[#This Row],[PRECIOCIGV]]*[1]!PRODUCTOS[[#This Row],[CANTIDAD]]</f>
        <v>1975.9997035999997</v>
      </c>
    </row>
    <row r="316" spans="1:15" x14ac:dyDescent="0.3">
      <c r="A316" s="2" t="s">
        <v>120</v>
      </c>
      <c r="B316" s="2">
        <v>1</v>
      </c>
      <c r="C316" s="2" t="s">
        <v>189</v>
      </c>
      <c r="D316" s="5">
        <v>46139</v>
      </c>
      <c r="E316" s="9">
        <v>20517486893</v>
      </c>
      <c r="F316" s="10" t="s">
        <v>232</v>
      </c>
      <c r="G316" s="10"/>
      <c r="I316" s="13">
        <f>+[1]!PRODUCTOS[[#This Row],[CANT.]]*1000</f>
        <v>2500</v>
      </c>
      <c r="J316" s="19" t="s">
        <v>250</v>
      </c>
      <c r="K316" s="19" t="s">
        <v>351</v>
      </c>
      <c r="L316" s="20" t="s">
        <v>352</v>
      </c>
      <c r="M316" s="16">
        <f>+[1]!PRODUCTOS[[#This Row],[PRECIO]]*18%+[1]!PRODUCTOS[[#This Row],[PRECIO]]</f>
        <v>0.779999942</v>
      </c>
      <c r="N316" s="16">
        <f>+[1]!PRODUCTOS[[#This Row],[PRECIOCIGV]]*[1]!PRODUCTOS[[#This Row],[CANTIDAD]]</f>
        <v>1949.999855</v>
      </c>
    </row>
    <row r="317" spans="1:15" x14ac:dyDescent="0.3">
      <c r="A317" s="2" t="s">
        <v>121</v>
      </c>
      <c r="B317" s="2">
        <v>1</v>
      </c>
      <c r="C317" s="2" t="s">
        <v>189</v>
      </c>
      <c r="D317" s="5">
        <v>46139</v>
      </c>
      <c r="E317" s="9">
        <v>20100150736</v>
      </c>
      <c r="F317" s="10" t="s">
        <v>202</v>
      </c>
      <c r="G317" s="10"/>
      <c r="I317" s="13">
        <f>+[1]!PRODUCTOS[[#This Row],[CANT.]]</f>
        <v>2.5</v>
      </c>
      <c r="J317" s="17" t="s">
        <v>250</v>
      </c>
      <c r="K317" s="15" t="s">
        <v>274</v>
      </c>
      <c r="L317" s="16" t="s">
        <v>275</v>
      </c>
      <c r="M317" s="16">
        <f>+[1]!PRODUCTOS[[#This Row],[PRECIO]]*18%+[1]!PRODUCTOS[[#This Row],[PRECIO]]</f>
        <v>0.7599998859999999</v>
      </c>
      <c r="N317" s="16">
        <f>+[1]!PRODUCTOS[[#This Row],[PRECIOCIGV]]*[1]!PRODUCTOS[[#This Row],[CANTIDAD]]</f>
        <v>1899.9997149999997</v>
      </c>
    </row>
    <row r="318" spans="1:15" x14ac:dyDescent="0.3">
      <c r="A318" s="2" t="s">
        <v>121</v>
      </c>
      <c r="B318" s="2">
        <v>1</v>
      </c>
      <c r="C318" s="2" t="s">
        <v>189</v>
      </c>
      <c r="D318" s="5">
        <v>46139</v>
      </c>
      <c r="E318" s="9">
        <v>20100150736</v>
      </c>
      <c r="F318" s="10" t="s">
        <v>202</v>
      </c>
      <c r="G318" s="10"/>
      <c r="I318" s="13">
        <f>+[1]!PRODUCTOS[[#This Row],[CANT.]]</f>
        <v>3</v>
      </c>
      <c r="J318" s="17" t="s">
        <v>250</v>
      </c>
      <c r="K318" s="15" t="s">
        <v>276</v>
      </c>
      <c r="L318" s="16" t="s">
        <v>277</v>
      </c>
      <c r="M318" s="16">
        <f>+[1]!PRODUCTOS[[#This Row],[PRECIO]]*18%+[1]!PRODUCTOS[[#This Row],[PRECIO]]</f>
        <v>0.60000002799999996</v>
      </c>
      <c r="N318" s="16">
        <f>+[1]!PRODUCTOS[[#This Row],[PRECIOCIGV]]*[1]!PRODUCTOS[[#This Row],[CANTIDAD]]</f>
        <v>1800.0000839999998</v>
      </c>
    </row>
    <row r="319" spans="1:15" x14ac:dyDescent="0.3">
      <c r="A319" s="2" t="s">
        <v>121</v>
      </c>
      <c r="B319" s="2">
        <v>1</v>
      </c>
      <c r="C319" s="2" t="s">
        <v>189</v>
      </c>
      <c r="D319" s="5">
        <v>46139</v>
      </c>
      <c r="E319" s="9">
        <v>20100150736</v>
      </c>
      <c r="F319" s="10" t="s">
        <v>202</v>
      </c>
      <c r="G319" s="10"/>
      <c r="I319" s="13">
        <f>+[1]!PRODUCTOS[[#This Row],[CANT.]]</f>
        <v>3</v>
      </c>
      <c r="J319" s="17" t="s">
        <v>250</v>
      </c>
      <c r="K319" s="19" t="s">
        <v>621</v>
      </c>
      <c r="L319" s="20" t="s">
        <v>622</v>
      </c>
      <c r="M319" s="16">
        <f>+[1]!PRODUCTOS[[#This Row],[PRECIO]]*18%+[1]!PRODUCTOS[[#This Row],[PRECIO]]</f>
        <v>0.60000002799999996</v>
      </c>
      <c r="N319" s="16">
        <f>+[1]!PRODUCTOS[[#This Row],[PRECIOCIGV]]*[1]!PRODUCTOS[[#This Row],[CANTIDAD]]</f>
        <v>1800.0000839999998</v>
      </c>
    </row>
    <row r="320" spans="1:15" x14ac:dyDescent="0.3">
      <c r="A320" s="2" t="s">
        <v>122</v>
      </c>
      <c r="B320" s="2">
        <v>1</v>
      </c>
      <c r="C320" s="2" t="s">
        <v>189</v>
      </c>
      <c r="D320" s="5">
        <v>46139</v>
      </c>
      <c r="E320" s="9">
        <v>20613553488</v>
      </c>
      <c r="F320" s="10" t="s">
        <v>197</v>
      </c>
      <c r="G320" s="10"/>
      <c r="I320" s="13">
        <v>2500</v>
      </c>
      <c r="J320" s="13" t="s">
        <v>250</v>
      </c>
      <c r="K320" s="15" t="s">
        <v>251</v>
      </c>
      <c r="L320" s="16" t="s">
        <v>252</v>
      </c>
      <c r="M320" s="16">
        <v>0.779999942</v>
      </c>
      <c r="N320" s="16">
        <v>1949.999855</v>
      </c>
    </row>
    <row r="321" spans="1:14" x14ac:dyDescent="0.3">
      <c r="A321" s="2" t="s">
        <v>123</v>
      </c>
      <c r="B321" s="2">
        <v>1</v>
      </c>
      <c r="C321" s="2" t="s">
        <v>189</v>
      </c>
      <c r="D321" s="5">
        <v>46140</v>
      </c>
      <c r="E321" s="9">
        <v>20557030191</v>
      </c>
      <c r="F321" s="10" t="s">
        <v>217</v>
      </c>
      <c r="G321" s="10"/>
      <c r="I321" s="13">
        <v>300</v>
      </c>
      <c r="J321" s="17" t="s">
        <v>250</v>
      </c>
      <c r="K321" s="15" t="s">
        <v>623</v>
      </c>
      <c r="L321" s="16" t="s">
        <v>624</v>
      </c>
      <c r="M321" s="16">
        <v>1.2199996399999999</v>
      </c>
      <c r="N321" s="16">
        <v>365.99989199999999</v>
      </c>
    </row>
    <row r="322" spans="1:14" x14ac:dyDescent="0.3">
      <c r="A322" s="2" t="s">
        <v>124</v>
      </c>
      <c r="B322" s="2">
        <v>1</v>
      </c>
      <c r="C322" s="2" t="s">
        <v>191</v>
      </c>
      <c r="D322" s="5">
        <v>46140</v>
      </c>
      <c r="E322" s="9">
        <v>20100029741</v>
      </c>
      <c r="F322" s="10" t="s">
        <v>210</v>
      </c>
      <c r="G322" s="10"/>
      <c r="I322" s="13">
        <v>464</v>
      </c>
      <c r="J322" s="17" t="s">
        <v>250</v>
      </c>
      <c r="K322" s="15" t="s">
        <v>413</v>
      </c>
      <c r="L322" s="16" t="s">
        <v>414</v>
      </c>
      <c r="M322" s="16">
        <v>9.3534481799999991</v>
      </c>
      <c r="N322" s="16">
        <v>4339.9999555199993</v>
      </c>
    </row>
    <row r="323" spans="1:14" x14ac:dyDescent="0.3">
      <c r="A323" s="2" t="s">
        <v>124</v>
      </c>
      <c r="B323" s="2">
        <v>1</v>
      </c>
      <c r="C323" s="2" t="s">
        <v>191</v>
      </c>
      <c r="D323" s="5">
        <v>46140</v>
      </c>
      <c r="E323" s="9">
        <v>20100029741</v>
      </c>
      <c r="F323" s="10" t="s">
        <v>210</v>
      </c>
      <c r="G323" s="10"/>
      <c r="I323" s="13">
        <v>416</v>
      </c>
      <c r="J323" s="17" t="s">
        <v>250</v>
      </c>
      <c r="K323" s="15" t="s">
        <v>334</v>
      </c>
      <c r="L323" s="16" t="s">
        <v>335</v>
      </c>
      <c r="M323" s="16">
        <v>5.2163457600000003</v>
      </c>
      <c r="N323" s="16">
        <v>2169.9998361600001</v>
      </c>
    </row>
    <row r="324" spans="1:14" x14ac:dyDescent="0.3">
      <c r="A324" s="2" t="s">
        <v>124</v>
      </c>
      <c r="B324" s="2">
        <v>1</v>
      </c>
      <c r="C324" s="2" t="s">
        <v>191</v>
      </c>
      <c r="D324" s="5">
        <v>46140</v>
      </c>
      <c r="E324" s="9">
        <v>20100029741</v>
      </c>
      <c r="F324" s="10" t="s">
        <v>210</v>
      </c>
      <c r="G324" s="10"/>
      <c r="I324" s="13">
        <v>150</v>
      </c>
      <c r="J324" s="17" t="s">
        <v>250</v>
      </c>
      <c r="K324" s="15" t="s">
        <v>336</v>
      </c>
      <c r="L324" s="16" t="s">
        <v>337</v>
      </c>
      <c r="M324" s="16">
        <v>14.46666666</v>
      </c>
      <c r="N324" s="16">
        <v>2169.9999990000001</v>
      </c>
    </row>
    <row r="325" spans="1:14" x14ac:dyDescent="0.3">
      <c r="A325" s="2" t="s">
        <v>125</v>
      </c>
      <c r="B325" s="2">
        <v>1</v>
      </c>
      <c r="C325" s="2" t="s">
        <v>189</v>
      </c>
      <c r="D325" s="5">
        <v>46142</v>
      </c>
      <c r="E325" s="9">
        <v>20608800868</v>
      </c>
      <c r="F325" s="10" t="s">
        <v>200</v>
      </c>
      <c r="G325" s="10"/>
      <c r="I325" s="13">
        <v>145</v>
      </c>
      <c r="J325" s="17" t="s">
        <v>250</v>
      </c>
      <c r="K325" s="15" t="s">
        <v>430</v>
      </c>
      <c r="L325" s="16" t="s">
        <v>431</v>
      </c>
      <c r="M325" s="16">
        <v>8.9999999951999996</v>
      </c>
      <c r="N325" s="16">
        <v>1304.9999993039999</v>
      </c>
    </row>
    <row r="326" spans="1:14" x14ac:dyDescent="0.3">
      <c r="A326" s="2" t="s">
        <v>125</v>
      </c>
      <c r="B326" s="2">
        <v>1</v>
      </c>
      <c r="C326" s="2" t="s">
        <v>189</v>
      </c>
      <c r="D326" s="5">
        <v>46142</v>
      </c>
      <c r="E326" s="9">
        <v>20608800868</v>
      </c>
      <c r="F326" s="10" t="s">
        <v>200</v>
      </c>
      <c r="G326" s="10"/>
      <c r="I326" s="13">
        <v>280</v>
      </c>
      <c r="J326" s="17" t="s">
        <v>250</v>
      </c>
      <c r="K326" s="15" t="s">
        <v>338</v>
      </c>
      <c r="L326" s="16" t="s">
        <v>339</v>
      </c>
      <c r="M326" s="16">
        <v>14.999999991999999</v>
      </c>
      <c r="N326" s="16">
        <v>4199.99999776</v>
      </c>
    </row>
    <row r="327" spans="1:14" x14ac:dyDescent="0.3">
      <c r="A327" s="2" t="s">
        <v>125</v>
      </c>
      <c r="B327" s="2">
        <v>1</v>
      </c>
      <c r="C327" s="2" t="s">
        <v>189</v>
      </c>
      <c r="D327" s="5">
        <v>46142</v>
      </c>
      <c r="E327" s="9">
        <v>20608800868</v>
      </c>
      <c r="F327" s="10" t="s">
        <v>200</v>
      </c>
      <c r="G327" s="10"/>
      <c r="I327" s="13">
        <v>250</v>
      </c>
      <c r="J327" s="17" t="s">
        <v>250</v>
      </c>
      <c r="K327" s="15" t="s">
        <v>334</v>
      </c>
      <c r="L327" s="16" t="s">
        <v>335</v>
      </c>
      <c r="M327" s="16">
        <v>21.999999886000001</v>
      </c>
      <c r="N327" s="16">
        <v>5499.9999715000004</v>
      </c>
    </row>
    <row r="328" spans="1:14" x14ac:dyDescent="0.3">
      <c r="A328" s="2" t="s">
        <v>125</v>
      </c>
      <c r="B328" s="2">
        <v>1</v>
      </c>
      <c r="C328" s="2" t="s">
        <v>189</v>
      </c>
      <c r="D328" s="5">
        <v>46142</v>
      </c>
      <c r="E328" s="9">
        <v>20608800868</v>
      </c>
      <c r="F328" s="10" t="s">
        <v>200</v>
      </c>
      <c r="G328" s="10"/>
      <c r="I328" s="13">
        <v>464</v>
      </c>
      <c r="J328" s="17" t="s">
        <v>250</v>
      </c>
      <c r="K328" s="15" t="s">
        <v>413</v>
      </c>
      <c r="L328" s="16" t="s">
        <v>414</v>
      </c>
      <c r="M328" s="16">
        <v>33.499999989999999</v>
      </c>
      <c r="N328" s="16">
        <v>15543.99999536</v>
      </c>
    </row>
    <row r="329" spans="1:14" x14ac:dyDescent="0.3">
      <c r="A329" s="2" t="s">
        <v>125</v>
      </c>
      <c r="B329" s="2">
        <v>1</v>
      </c>
      <c r="C329" s="2" t="s">
        <v>189</v>
      </c>
      <c r="D329" s="5">
        <v>46142</v>
      </c>
      <c r="E329" s="9">
        <v>20608800868</v>
      </c>
      <c r="F329" s="10" t="s">
        <v>200</v>
      </c>
      <c r="G329" s="10"/>
      <c r="I329" s="13">
        <v>250</v>
      </c>
      <c r="J329" s="17" t="s">
        <v>250</v>
      </c>
      <c r="K329" s="15" t="s">
        <v>336</v>
      </c>
      <c r="L329" s="16" t="s">
        <v>337</v>
      </c>
      <c r="M329" s="16">
        <v>50.003999999479994</v>
      </c>
      <c r="N329" s="16">
        <v>12500.999999869999</v>
      </c>
    </row>
    <row r="330" spans="1:14" x14ac:dyDescent="0.3">
      <c r="A330" s="2" t="s">
        <v>126</v>
      </c>
      <c r="B330" s="2">
        <v>1</v>
      </c>
      <c r="C330" s="2" t="s">
        <v>189</v>
      </c>
      <c r="D330" s="5">
        <v>46142</v>
      </c>
      <c r="E330" s="9">
        <v>10075211215</v>
      </c>
      <c r="F330" s="10" t="s">
        <v>214</v>
      </c>
      <c r="G330" s="10"/>
      <c r="I330" s="13">
        <v>140</v>
      </c>
      <c r="J330" s="17" t="s">
        <v>250</v>
      </c>
      <c r="K330" s="15" t="s">
        <v>338</v>
      </c>
      <c r="L330" s="16" t="s">
        <v>339</v>
      </c>
      <c r="M330" s="16">
        <v>13.999999905999999</v>
      </c>
      <c r="N330" s="16">
        <v>1959.99998684</v>
      </c>
    </row>
    <row r="331" spans="1:14" x14ac:dyDescent="0.3">
      <c r="A331" s="2" t="s">
        <v>127</v>
      </c>
      <c r="B331" s="2">
        <v>1</v>
      </c>
      <c r="C331" s="2" t="s">
        <v>189</v>
      </c>
      <c r="D331" s="5">
        <v>46142</v>
      </c>
      <c r="E331" s="9">
        <v>20100029741</v>
      </c>
      <c r="F331" s="10" t="s">
        <v>210</v>
      </c>
      <c r="G331" s="10"/>
      <c r="I331" s="13">
        <v>650</v>
      </c>
      <c r="J331" s="17" t="s">
        <v>250</v>
      </c>
      <c r="K331" s="15" t="s">
        <v>260</v>
      </c>
      <c r="L331" s="16" t="s">
        <v>261</v>
      </c>
      <c r="M331" s="16">
        <v>29.799955999999998</v>
      </c>
      <c r="N331" s="16">
        <v>19369.971399999999</v>
      </c>
    </row>
    <row r="332" spans="1:14" x14ac:dyDescent="0.3">
      <c r="A332" s="2" t="s">
        <v>128</v>
      </c>
      <c r="B332" s="2">
        <v>1</v>
      </c>
      <c r="C332" s="2" t="s">
        <v>189</v>
      </c>
      <c r="D332" s="5">
        <v>46142</v>
      </c>
      <c r="E332" s="9">
        <v>20610843876</v>
      </c>
      <c r="F332" s="10" t="s">
        <v>233</v>
      </c>
      <c r="G332" s="10"/>
      <c r="I332" s="13">
        <f>+[1]!PRODUCTOS[[#This Row],[CANT.]]*1000</f>
        <v>464000</v>
      </c>
      <c r="J332" s="17" t="s">
        <v>250</v>
      </c>
      <c r="K332" s="19" t="s">
        <v>251</v>
      </c>
      <c r="L332" s="20" t="s">
        <v>252</v>
      </c>
      <c r="M332" s="16">
        <f>+[1]!PRODUCTOS[[#This Row],[PRECIO]]*18%+[1]!PRODUCTOS[[#This Row],[PRECIO]]</f>
        <v>33.499999989999999</v>
      </c>
      <c r="N332" s="16">
        <f>+[1]!PRODUCTOS[[#This Row],[PRECIOCIGV]]*[1]!PRODUCTOS[[#This Row],[CANTIDAD]]</f>
        <v>15543.99999536</v>
      </c>
    </row>
    <row r="333" spans="1:14" x14ac:dyDescent="0.3">
      <c r="A333" s="2" t="s">
        <v>129</v>
      </c>
      <c r="B333" s="2">
        <v>1</v>
      </c>
      <c r="C333" s="2" t="s">
        <v>189</v>
      </c>
      <c r="D333" s="5">
        <v>46142</v>
      </c>
      <c r="E333" s="9">
        <v>20601748933</v>
      </c>
      <c r="F333" s="10" t="s">
        <v>234</v>
      </c>
      <c r="G333" s="10"/>
      <c r="I333" s="13">
        <f>+[1]!PRODUCTOS[[#This Row],[CANT.]]*1000</f>
        <v>250000</v>
      </c>
      <c r="J333" s="17" t="s">
        <v>250</v>
      </c>
      <c r="K333" s="19" t="s">
        <v>251</v>
      </c>
      <c r="L333" s="20" t="s">
        <v>252</v>
      </c>
      <c r="M333" s="16">
        <f>+[1]!PRODUCTOS[[#This Row],[PRECIO]]*18%+[1]!PRODUCTOS[[#This Row],[PRECIO]]</f>
        <v>50.003999999479994</v>
      </c>
      <c r="N333" s="16">
        <f>+[1]!PRODUCTOS[[#This Row],[PRECIOCIGV]]*[1]!PRODUCTOS[[#This Row],[CANTIDAD]]</f>
        <v>12500.999999869999</v>
      </c>
    </row>
    <row r="334" spans="1:14" x14ac:dyDescent="0.3">
      <c r="A334" s="2" t="s">
        <v>130</v>
      </c>
      <c r="B334" s="2">
        <v>1</v>
      </c>
      <c r="C334" s="2" t="s">
        <v>189</v>
      </c>
      <c r="D334" s="5">
        <v>46142</v>
      </c>
      <c r="E334" s="9">
        <v>20605639845</v>
      </c>
      <c r="F334" s="10" t="s">
        <v>235</v>
      </c>
      <c r="G334" s="10"/>
      <c r="I334" s="13">
        <f>+[1]!PRODUCTOS[[#This Row],[CANT.]]*1000</f>
        <v>140000</v>
      </c>
      <c r="J334" s="17" t="s">
        <v>250</v>
      </c>
      <c r="K334" s="19" t="s">
        <v>251</v>
      </c>
      <c r="L334" s="20" t="s">
        <v>252</v>
      </c>
      <c r="M334" s="16">
        <f>+[1]!PRODUCTOS[[#This Row],[PRECIO]]*18%+[1]!PRODUCTOS[[#This Row],[PRECIO]]</f>
        <v>13.999999905999999</v>
      </c>
      <c r="N334" s="16">
        <f>+[1]!PRODUCTOS[[#This Row],[PRECIOCIGV]]*[1]!PRODUCTOS[[#This Row],[CANTIDAD]]</f>
        <v>1959.99998684</v>
      </c>
    </row>
    <row r="335" spans="1:14" x14ac:dyDescent="0.3">
      <c r="A335" s="2" t="s">
        <v>131</v>
      </c>
      <c r="B335" s="2">
        <v>1</v>
      </c>
      <c r="C335" s="2" t="s">
        <v>189</v>
      </c>
      <c r="D335" s="5">
        <v>46145</v>
      </c>
      <c r="E335" s="9">
        <v>20517486893</v>
      </c>
      <c r="F335" s="10" t="s">
        <v>232</v>
      </c>
      <c r="G335" s="10"/>
      <c r="I335" s="13">
        <f>+[1]!PRODUCTOS[[#This Row],[CANT.]]*1000</f>
        <v>650000</v>
      </c>
      <c r="J335" s="19" t="s">
        <v>250</v>
      </c>
      <c r="K335" s="19" t="s">
        <v>351</v>
      </c>
      <c r="L335" s="20" t="s">
        <v>352</v>
      </c>
      <c r="M335" s="16">
        <f>+[1]!PRODUCTOS[[#This Row],[PRECIO]]*18%+[1]!PRODUCTOS[[#This Row],[PRECIO]]</f>
        <v>29.799956000000002</v>
      </c>
      <c r="N335" s="16">
        <f>+[1]!PRODUCTOS[[#This Row],[PRECIOCIGV]]*[1]!PRODUCTOS[[#This Row],[CANTIDAD]]</f>
        <v>19369.971399999999</v>
      </c>
    </row>
    <row r="336" spans="1:14" x14ac:dyDescent="0.3">
      <c r="A336" s="2" t="s">
        <v>132</v>
      </c>
      <c r="B336" s="2">
        <v>1</v>
      </c>
      <c r="C336" s="2" t="s">
        <v>189</v>
      </c>
      <c r="D336" s="5">
        <v>46145</v>
      </c>
      <c r="E336" s="9">
        <v>20517486893</v>
      </c>
      <c r="F336" s="10" t="s">
        <v>232</v>
      </c>
      <c r="G336" s="10"/>
      <c r="I336" s="13">
        <f>+[1]!PRODUCTOS[[#This Row],[CANT.]]*1000</f>
        <v>2600</v>
      </c>
      <c r="J336" s="19" t="s">
        <v>250</v>
      </c>
      <c r="K336" s="19" t="s">
        <v>351</v>
      </c>
      <c r="L336" s="20" t="s">
        <v>352</v>
      </c>
      <c r="M336" s="16">
        <f>+[1]!PRODUCTOS[[#This Row],[PRECIO]]*18%+[1]!PRODUCTOS[[#This Row],[PRECIO]]</f>
        <v>0.72999999999998799</v>
      </c>
      <c r="N336" s="16">
        <f>+[1]!PRODUCTOS[[#This Row],[PRECIOCIGV]]*[1]!PRODUCTOS[[#This Row],[CANTIDAD]]</f>
        <v>1897.9999999999688</v>
      </c>
    </row>
    <row r="337" spans="1:14" x14ac:dyDescent="0.3">
      <c r="A337" s="2" t="s">
        <v>133</v>
      </c>
      <c r="B337" s="2">
        <v>1</v>
      </c>
      <c r="C337" s="2" t="s">
        <v>189</v>
      </c>
      <c r="D337" s="5">
        <v>46145</v>
      </c>
      <c r="E337" s="9">
        <v>20517486893</v>
      </c>
      <c r="F337" s="10" t="s">
        <v>232</v>
      </c>
      <c r="G337" s="10"/>
      <c r="I337" s="13">
        <f>+[1]!PRODUCTOS[[#This Row],[CANT.]]*1000</f>
        <v>2700</v>
      </c>
      <c r="J337" s="19" t="s">
        <v>250</v>
      </c>
      <c r="K337" s="19" t="s">
        <v>351</v>
      </c>
      <c r="L337" s="20" t="s">
        <v>352</v>
      </c>
      <c r="M337" s="16">
        <f>+[1]!PRODUCTOS[[#This Row],[PRECIO]]*18%+[1]!PRODUCTOS[[#This Row],[PRECIO]]</f>
        <v>0.72999999999998799</v>
      </c>
      <c r="N337" s="16">
        <f>+[1]!PRODUCTOS[[#This Row],[PRECIOCIGV]]*[1]!PRODUCTOS[[#This Row],[CANTIDAD]]</f>
        <v>1970.9999999999675</v>
      </c>
    </row>
    <row r="338" spans="1:14" x14ac:dyDescent="0.3">
      <c r="A338" s="2" t="s">
        <v>134</v>
      </c>
      <c r="B338" s="2">
        <v>1</v>
      </c>
      <c r="C338" s="2" t="s">
        <v>189</v>
      </c>
      <c r="D338" s="5">
        <v>46147</v>
      </c>
      <c r="E338" s="9">
        <v>20545134293</v>
      </c>
      <c r="F338" s="10" t="s">
        <v>225</v>
      </c>
      <c r="G338" s="10"/>
      <c r="I338" s="13">
        <f>+[1]!PRODUCTOS[[#This Row],[CANT.]]*1000</f>
        <v>2700</v>
      </c>
      <c r="J338" s="17" t="s">
        <v>250</v>
      </c>
      <c r="K338" s="19" t="s">
        <v>351</v>
      </c>
      <c r="L338" s="20" t="s">
        <v>352</v>
      </c>
      <c r="M338" s="16">
        <f>+[1]!PRODUCTOS[[#This Row],[PRECIO]]*18%+[1]!PRODUCTOS[[#This Row],[PRECIO]]</f>
        <v>0.72999999999998799</v>
      </c>
      <c r="N338" s="16">
        <f>+[1]!PRODUCTOS[[#This Row],[PRECIOCIGV]]*[1]!PRODUCTOS[[#This Row],[CANTIDAD]]</f>
        <v>1970.9999999999675</v>
      </c>
    </row>
    <row r="339" spans="1:14" x14ac:dyDescent="0.3">
      <c r="A339" s="2" t="s">
        <v>135</v>
      </c>
      <c r="B339" s="2">
        <v>1</v>
      </c>
      <c r="C339" s="2" t="s">
        <v>189</v>
      </c>
      <c r="D339" s="5">
        <v>46147</v>
      </c>
      <c r="E339" s="9">
        <v>20612691984</v>
      </c>
      <c r="F339" s="10" t="s">
        <v>236</v>
      </c>
      <c r="G339" s="10"/>
      <c r="I339" s="13">
        <f>+[1]!PRODUCTOS[[#This Row],[CANT.]]</f>
        <v>3</v>
      </c>
      <c r="J339" s="17" t="s">
        <v>250</v>
      </c>
      <c r="K339" s="15" t="s">
        <v>450</v>
      </c>
      <c r="L339" s="16" t="s">
        <v>451</v>
      </c>
      <c r="M339" s="16">
        <v>4.0001999999999995</v>
      </c>
      <c r="N339" s="16">
        <v>96.004799999999989</v>
      </c>
    </row>
    <row r="340" spans="1:14" x14ac:dyDescent="0.3">
      <c r="A340" s="2" t="s">
        <v>135</v>
      </c>
      <c r="B340" s="2">
        <v>1</v>
      </c>
      <c r="C340" s="2" t="s">
        <v>189</v>
      </c>
      <c r="D340" s="5">
        <v>46147</v>
      </c>
      <c r="E340" s="9">
        <v>20612691984</v>
      </c>
      <c r="F340" s="10" t="s">
        <v>236</v>
      </c>
      <c r="G340" s="10"/>
      <c r="I340" s="13">
        <v>60</v>
      </c>
      <c r="J340" s="17" t="s">
        <v>250</v>
      </c>
      <c r="K340" s="19" t="s">
        <v>625</v>
      </c>
      <c r="L340" s="20" t="s">
        <v>626</v>
      </c>
      <c r="M340" s="16">
        <v>2.0000999999999998</v>
      </c>
      <c r="N340" s="16">
        <v>120.00599999999999</v>
      </c>
    </row>
    <row r="341" spans="1:14" x14ac:dyDescent="0.3">
      <c r="A341" s="2" t="s">
        <v>136</v>
      </c>
      <c r="B341" s="2">
        <v>1</v>
      </c>
      <c r="C341" s="2" t="s">
        <v>189</v>
      </c>
      <c r="D341" s="5">
        <v>46147</v>
      </c>
      <c r="E341" s="9">
        <v>20514134155</v>
      </c>
      <c r="F341" s="10" t="s">
        <v>237</v>
      </c>
      <c r="G341" s="10"/>
      <c r="I341" s="13">
        <f>+[1]!PRODUCTOS[[#This Row],[CANT.]]*1000</f>
        <v>3000</v>
      </c>
      <c r="J341" s="17" t="s">
        <v>250</v>
      </c>
      <c r="K341" s="15" t="s">
        <v>627</v>
      </c>
      <c r="L341" s="16" t="s">
        <v>628</v>
      </c>
      <c r="M341" s="16">
        <f>+[1]!PRODUCTOS[[#This Row],[PRECIO]]*18%+[1]!PRODUCTOS[[#This Row],[PRECIO]]</f>
        <v>0.60000002799999996</v>
      </c>
      <c r="N341" s="16">
        <f>+[1]!PRODUCTOS[[#This Row],[PRECIOCIGV]]*[1]!PRODUCTOS[[#This Row],[CANTIDAD]]</f>
        <v>1800.0000839999998</v>
      </c>
    </row>
    <row r="342" spans="1:14" x14ac:dyDescent="0.3">
      <c r="A342" s="2" t="s">
        <v>137</v>
      </c>
      <c r="B342" s="2">
        <v>1</v>
      </c>
      <c r="C342" s="2" t="s">
        <v>189</v>
      </c>
      <c r="D342" s="5">
        <v>46150</v>
      </c>
      <c r="E342" s="9">
        <v>10403972733</v>
      </c>
      <c r="F342" s="10" t="s">
        <v>238</v>
      </c>
      <c r="G342" s="10"/>
      <c r="I342" s="13">
        <v>1</v>
      </c>
      <c r="J342" s="17" t="s">
        <v>250</v>
      </c>
      <c r="K342" s="19" t="s">
        <v>629</v>
      </c>
      <c r="L342" s="20" t="s">
        <v>630</v>
      </c>
      <c r="M342" s="16">
        <v>11.999891999999999</v>
      </c>
      <c r="N342" s="16">
        <v>11.999891999999999</v>
      </c>
    </row>
    <row r="343" spans="1:14" x14ac:dyDescent="0.3">
      <c r="A343" s="2" t="s">
        <v>137</v>
      </c>
      <c r="B343" s="2">
        <v>1</v>
      </c>
      <c r="C343" s="2" t="s">
        <v>189</v>
      </c>
      <c r="D343" s="5">
        <v>46150</v>
      </c>
      <c r="E343" s="9">
        <v>10403972733</v>
      </c>
      <c r="F343" s="10" t="s">
        <v>238</v>
      </c>
      <c r="G343" s="10"/>
      <c r="I343" s="13">
        <f>+[1]!PRODUCTOS[[#This Row],[CANT.]]</f>
        <v>24</v>
      </c>
      <c r="J343" s="17" t="s">
        <v>250</v>
      </c>
      <c r="K343" s="19" t="s">
        <v>631</v>
      </c>
      <c r="L343" s="20" t="s">
        <v>632</v>
      </c>
      <c r="M343" s="16">
        <f>+[1]!PRODUCTOS[[#This Row],[PRECIO]]*18%+[1]!PRODUCTOS[[#This Row],[PRECIO]]</f>
        <v>4.0002000000000004</v>
      </c>
      <c r="N343" s="16">
        <f>+[1]!PRODUCTOS[[#This Row],[PRECIOCIGV]]*[1]!PRODUCTOS[[#This Row],[CANTIDAD]]</f>
        <v>96.004799999999989</v>
      </c>
    </row>
    <row r="344" spans="1:14" x14ac:dyDescent="0.3">
      <c r="A344" s="2" t="s">
        <v>138</v>
      </c>
      <c r="B344" s="2">
        <v>1</v>
      </c>
      <c r="C344" s="2" t="s">
        <v>189</v>
      </c>
      <c r="D344" s="5">
        <v>46150</v>
      </c>
      <c r="E344" s="9">
        <v>20612691984</v>
      </c>
      <c r="F344" s="10" t="s">
        <v>236</v>
      </c>
      <c r="G344" s="10"/>
      <c r="I344" s="13">
        <f>+[1]!PRODUCTOS[[#This Row],[CANT.]]</f>
        <v>60</v>
      </c>
      <c r="J344" s="17" t="s">
        <v>250</v>
      </c>
      <c r="K344" s="19" t="s">
        <v>633</v>
      </c>
      <c r="L344" s="20" t="s">
        <v>634</v>
      </c>
      <c r="M344" s="16">
        <f>+[1]!PRODUCTOS[[#This Row],[PRECIO]]*18%+[1]!PRODUCTOS[[#This Row],[PRECIO]]</f>
        <v>2.0001000000000002</v>
      </c>
      <c r="N344" s="16">
        <f>+[1]!PRODUCTOS[[#This Row],[PRECIOCIGV]]*[1]!PRODUCTOS[[#This Row],[CANTIDAD]]</f>
        <v>120.00599999999999</v>
      </c>
    </row>
    <row r="345" spans="1:14" x14ac:dyDescent="0.3">
      <c r="A345" s="2" t="s">
        <v>139</v>
      </c>
      <c r="B345" s="2">
        <v>1</v>
      </c>
      <c r="C345" s="2" t="s">
        <v>189</v>
      </c>
      <c r="D345" s="5">
        <v>46153</v>
      </c>
      <c r="E345" s="9">
        <v>20545134293</v>
      </c>
      <c r="F345" s="10" t="s">
        <v>225</v>
      </c>
      <c r="G345" s="10"/>
      <c r="I345" s="13">
        <f>+[1]!PRODUCTOS[[#This Row],[CANT.]]*1000</f>
        <v>10000</v>
      </c>
      <c r="J345" s="17" t="s">
        <v>250</v>
      </c>
      <c r="K345" s="19" t="s">
        <v>351</v>
      </c>
      <c r="L345" s="20" t="s">
        <v>352</v>
      </c>
      <c r="M345" s="16">
        <f>+[1]!PRODUCTOS[[#This Row],[PRECIO]]*18%+[1]!PRODUCTOS[[#This Row],[PRECIO]]</f>
        <v>0.72999992000000002</v>
      </c>
      <c r="N345" s="16">
        <f>+[1]!PRODUCTOS[[#This Row],[PRECIOCIGV]]*[1]!PRODUCTOS[[#This Row],[CANTIDAD]]</f>
        <v>7299.9992000000002</v>
      </c>
    </row>
    <row r="346" spans="1:14" x14ac:dyDescent="0.3">
      <c r="A346" s="2" t="s">
        <v>140</v>
      </c>
      <c r="B346" s="2">
        <v>1</v>
      </c>
      <c r="C346" s="2" t="s">
        <v>189</v>
      </c>
      <c r="D346" s="5">
        <v>46153</v>
      </c>
      <c r="E346" s="9">
        <v>20610843876</v>
      </c>
      <c r="F346" s="10" t="s">
        <v>233</v>
      </c>
      <c r="G346" s="10"/>
      <c r="I346" s="13">
        <f>+[1]!PRODUCTOS[[#This Row],[CANT.]]*1000</f>
        <v>1000</v>
      </c>
      <c r="J346" s="17" t="s">
        <v>250</v>
      </c>
      <c r="K346" s="19" t="s">
        <v>251</v>
      </c>
      <c r="L346" s="20" t="s">
        <v>252</v>
      </c>
      <c r="M346" s="16">
        <f>+[1]!PRODUCTOS[[#This Row],[PRECIO]]*18%+[1]!PRODUCTOS[[#This Row],[PRECIO]]</f>
        <v>11.999891999999999</v>
      </c>
      <c r="N346" s="16">
        <f>+[1]!PRODUCTOS[[#This Row],[PRECIOCIGV]]*[1]!PRODUCTOS[[#This Row],[CANTIDAD]]</f>
        <v>11.999891999999999</v>
      </c>
    </row>
    <row r="347" spans="1:14" x14ac:dyDescent="0.3">
      <c r="A347" s="2" t="s">
        <v>141</v>
      </c>
      <c r="B347" s="2">
        <v>1</v>
      </c>
      <c r="C347" s="2" t="s">
        <v>189</v>
      </c>
      <c r="D347" s="5">
        <v>46153</v>
      </c>
      <c r="E347" s="9">
        <v>20601748933</v>
      </c>
      <c r="F347" s="10" t="s">
        <v>234</v>
      </c>
      <c r="G347" s="10"/>
      <c r="I347" s="13">
        <f>+[1]!PRODUCTOS[[#This Row],[CANT.]]*1000</f>
        <v>1000</v>
      </c>
      <c r="J347" s="17" t="s">
        <v>250</v>
      </c>
      <c r="K347" s="15" t="s">
        <v>627</v>
      </c>
      <c r="L347" s="16" t="s">
        <v>628</v>
      </c>
      <c r="M347" s="16">
        <f>+[1]!PRODUCTOS[[#This Row],[PRECIO]]*18%+[1]!PRODUCTOS[[#This Row],[PRECIO]]</f>
        <v>23.999901999999999</v>
      </c>
      <c r="N347" s="16">
        <f>+[1]!PRODUCTOS[[#This Row],[PRECIOCIGV]]*[1]!PRODUCTOS[[#This Row],[CANTIDAD]]</f>
        <v>23.999901999999999</v>
      </c>
    </row>
    <row r="348" spans="1:14" x14ac:dyDescent="0.3">
      <c r="A348" s="2" t="s">
        <v>142</v>
      </c>
      <c r="B348" s="2">
        <v>1</v>
      </c>
      <c r="C348" s="2" t="s">
        <v>189</v>
      </c>
      <c r="D348" s="5">
        <v>46153</v>
      </c>
      <c r="E348" s="9">
        <v>20605639845</v>
      </c>
      <c r="F348" s="10" t="s">
        <v>235</v>
      </c>
      <c r="G348" s="10"/>
      <c r="I348" s="13">
        <f>+[1]!PRODUCTOS[[#This Row],[CANT.]]*1000</f>
        <v>50000</v>
      </c>
      <c r="J348" s="17" t="s">
        <v>250</v>
      </c>
      <c r="K348" s="15" t="s">
        <v>627</v>
      </c>
      <c r="L348" s="16" t="s">
        <v>628</v>
      </c>
      <c r="M348" s="16">
        <f>+[1]!PRODUCTOS[[#This Row],[PRECIO]]*18%+[1]!PRODUCTOS[[#This Row],[PRECIO]]</f>
        <v>6.0003000000000002</v>
      </c>
      <c r="N348" s="16">
        <f>+[1]!PRODUCTOS[[#This Row],[PRECIOCIGV]]*[1]!PRODUCTOS[[#This Row],[CANTIDAD]]</f>
        <v>300.01499999999999</v>
      </c>
    </row>
    <row r="349" spans="1:14" x14ac:dyDescent="0.3">
      <c r="A349" s="2" t="s">
        <v>143</v>
      </c>
      <c r="B349" s="2">
        <v>1</v>
      </c>
      <c r="C349" s="2" t="s">
        <v>189</v>
      </c>
      <c r="D349" s="5">
        <v>46153</v>
      </c>
      <c r="E349" s="9">
        <v>20611560894</v>
      </c>
      <c r="F349" s="10" t="s">
        <v>207</v>
      </c>
      <c r="G349" s="10"/>
      <c r="I349" s="13">
        <v>50</v>
      </c>
      <c r="J349" s="13" t="s">
        <v>250</v>
      </c>
      <c r="K349" s="15" t="s">
        <v>253</v>
      </c>
      <c r="L349" s="16" t="s">
        <v>254</v>
      </c>
      <c r="M349" s="16">
        <v>6.9999999999639995</v>
      </c>
      <c r="N349" s="16">
        <v>349.9999999982</v>
      </c>
    </row>
    <row r="350" spans="1:14" x14ac:dyDescent="0.3">
      <c r="A350" s="2" t="s">
        <v>144</v>
      </c>
      <c r="B350" s="2">
        <v>1</v>
      </c>
      <c r="C350" s="2" t="s">
        <v>189</v>
      </c>
      <c r="D350" s="5">
        <v>46153</v>
      </c>
      <c r="E350" s="9">
        <v>20605498991</v>
      </c>
      <c r="F350" s="10" t="s">
        <v>216</v>
      </c>
      <c r="G350" s="10"/>
      <c r="I350" s="13">
        <f>+[1]!PRODUCTOS[[#This Row],[CANT.]]</f>
        <v>2</v>
      </c>
      <c r="J350" s="21" t="s">
        <v>250</v>
      </c>
      <c r="K350" s="19" t="s">
        <v>635</v>
      </c>
      <c r="L350" s="20" t="s">
        <v>636</v>
      </c>
      <c r="M350" s="16">
        <f>+[1]!PRODUCTOS[[#This Row],[PRECIO]]*18%+[1]!PRODUCTOS[[#This Row],[PRECIO]]</f>
        <v>0.84000000000004593</v>
      </c>
      <c r="N350" s="16">
        <f>+[1]!PRODUCTOS[[#This Row],[PRECIOCIGV]]*[1]!PRODUCTOS[[#This Row],[CANTIDAD]]</f>
        <v>1680.0000000000919</v>
      </c>
    </row>
    <row r="351" spans="1:14" x14ac:dyDescent="0.3">
      <c r="A351" s="2" t="s">
        <v>145</v>
      </c>
      <c r="B351" s="2">
        <v>1</v>
      </c>
      <c r="C351" s="2" t="s">
        <v>189</v>
      </c>
      <c r="D351" s="5">
        <v>46154</v>
      </c>
      <c r="E351" s="9">
        <v>20514134155</v>
      </c>
      <c r="F351" s="10" t="s">
        <v>237</v>
      </c>
      <c r="G351" s="10"/>
      <c r="I351" s="13">
        <f>+[1]!PRODUCTOS[[#This Row],[CANT.]]*1000</f>
        <v>2000</v>
      </c>
      <c r="J351" s="17" t="s">
        <v>250</v>
      </c>
      <c r="K351" s="15" t="s">
        <v>627</v>
      </c>
      <c r="L351" s="16" t="s">
        <v>628</v>
      </c>
      <c r="M351" s="16">
        <f>+[1]!PRODUCTOS[[#This Row],[PRECIO]]*18%+[1]!PRODUCTOS[[#This Row],[PRECIO]]</f>
        <v>0.84000000000004593</v>
      </c>
      <c r="N351" s="16">
        <f>+[1]!PRODUCTOS[[#This Row],[PRECIOCIGV]]*[1]!PRODUCTOS[[#This Row],[CANTIDAD]]</f>
        <v>1680.0000000000919</v>
      </c>
    </row>
    <row r="352" spans="1:14" x14ac:dyDescent="0.3">
      <c r="A352" s="2" t="s">
        <v>146</v>
      </c>
      <c r="B352" s="2">
        <v>1</v>
      </c>
      <c r="C352" s="2" t="s">
        <v>189</v>
      </c>
      <c r="D352" s="5">
        <v>46154</v>
      </c>
      <c r="E352" s="9">
        <v>20512176594</v>
      </c>
      <c r="F352" s="10" t="s">
        <v>231</v>
      </c>
      <c r="G352" s="10"/>
      <c r="I352" s="13">
        <v>500</v>
      </c>
      <c r="J352" s="17" t="s">
        <v>250</v>
      </c>
      <c r="K352" s="19" t="s">
        <v>637</v>
      </c>
      <c r="L352" s="20" t="s">
        <v>638</v>
      </c>
      <c r="M352" s="16">
        <v>1.8900059999999999</v>
      </c>
      <c r="N352" s="16">
        <v>945.00299999999993</v>
      </c>
    </row>
    <row r="353" spans="1:15" x14ac:dyDescent="0.3">
      <c r="A353" s="2" t="s">
        <v>146</v>
      </c>
      <c r="B353" s="2">
        <v>1</v>
      </c>
      <c r="C353" s="2" t="s">
        <v>189</v>
      </c>
      <c r="D353" s="5">
        <v>46154</v>
      </c>
      <c r="E353" s="9">
        <v>20512176594</v>
      </c>
      <c r="F353" s="10" t="s">
        <v>231</v>
      </c>
      <c r="G353" s="10"/>
      <c r="I353" s="13">
        <v>200</v>
      </c>
      <c r="J353" s="17" t="s">
        <v>250</v>
      </c>
      <c r="K353" s="19" t="s">
        <v>639</v>
      </c>
      <c r="L353" s="20" t="s">
        <v>640</v>
      </c>
      <c r="M353" s="16">
        <v>1.6699949999999999</v>
      </c>
      <c r="N353" s="16">
        <v>333.99899999999997</v>
      </c>
    </row>
    <row r="354" spans="1:15" x14ac:dyDescent="0.3">
      <c r="A354" s="2" t="s">
        <v>146</v>
      </c>
      <c r="B354" s="2">
        <v>1</v>
      </c>
      <c r="C354" s="2" t="s">
        <v>189</v>
      </c>
      <c r="D354" s="5">
        <v>46154</v>
      </c>
      <c r="E354" s="9">
        <v>20512176594</v>
      </c>
      <c r="F354" s="10" t="s">
        <v>231</v>
      </c>
      <c r="G354" s="10"/>
      <c r="I354" s="13">
        <f>+[1]!PRODUCTOS[[#This Row],[CANT.]]</f>
        <v>96</v>
      </c>
      <c r="J354" s="17" t="s">
        <v>250</v>
      </c>
      <c r="K354" s="19" t="s">
        <v>641</v>
      </c>
      <c r="L354" s="20" t="s">
        <v>642</v>
      </c>
      <c r="M354" s="16">
        <f>+[1]!PRODUCTOS[[#This Row],[PRECIO]]*18%+[1]!PRODUCTOS[[#This Row],[PRECIO]]</f>
        <v>9.7699999999419997</v>
      </c>
      <c r="N354" s="16">
        <f>+[1]!PRODUCTOS[[#This Row],[PRECIOCIGV]]*[1]!PRODUCTOS[[#This Row],[CANTIDAD]]</f>
        <v>937.91999999443192</v>
      </c>
    </row>
    <row r="355" spans="1:15" x14ac:dyDescent="0.3">
      <c r="A355" s="2" t="s">
        <v>146</v>
      </c>
      <c r="B355" s="2">
        <v>1</v>
      </c>
      <c r="C355" s="2" t="s">
        <v>189</v>
      </c>
      <c r="D355" s="5">
        <v>46154</v>
      </c>
      <c r="E355" s="9">
        <v>20512176594</v>
      </c>
      <c r="F355" s="10" t="s">
        <v>231</v>
      </c>
      <c r="G355" s="10"/>
      <c r="I355" s="13">
        <f>+[1]!PRODUCTOS[[#This Row],[CANT.]]</f>
        <v>10</v>
      </c>
      <c r="J355" s="17" t="s">
        <v>250</v>
      </c>
      <c r="K355" s="15" t="s">
        <v>643</v>
      </c>
      <c r="L355" s="16" t="s">
        <v>644</v>
      </c>
      <c r="M355" s="16">
        <f>+[1]!PRODUCTOS[[#This Row],[PRECIO]]*18%+[1]!PRODUCTOS[[#This Row],[PRECIO]]</f>
        <v>0.74000041999999999</v>
      </c>
      <c r="N355" s="16">
        <f>+[1]!PRODUCTOS[[#This Row],[PRECIOCIGV]]*[1]!PRODUCTOS[[#This Row],[CANTIDAD]]</f>
        <v>7400.0042000000003</v>
      </c>
    </row>
    <row r="356" spans="1:15" x14ac:dyDescent="0.3">
      <c r="A356" s="2" t="s">
        <v>146</v>
      </c>
      <c r="B356" s="2">
        <v>1</v>
      </c>
      <c r="C356" s="2" t="s">
        <v>189</v>
      </c>
      <c r="D356" s="5">
        <v>46154</v>
      </c>
      <c r="E356" s="9">
        <v>20512176594</v>
      </c>
      <c r="F356" s="10" t="s">
        <v>231</v>
      </c>
      <c r="G356" s="10"/>
      <c r="I356" s="13">
        <v>40</v>
      </c>
      <c r="J356" s="17" t="s">
        <v>250</v>
      </c>
      <c r="K356" s="19" t="s">
        <v>645</v>
      </c>
      <c r="L356" s="20" t="s">
        <v>646</v>
      </c>
      <c r="M356" s="16">
        <v>7.7195599999999995</v>
      </c>
      <c r="N356" s="16">
        <v>308.7824</v>
      </c>
    </row>
    <row r="357" spans="1:15" x14ac:dyDescent="0.3">
      <c r="A357" s="2" t="s">
        <v>146</v>
      </c>
      <c r="B357" s="2">
        <v>1</v>
      </c>
      <c r="C357" s="2" t="s">
        <v>189</v>
      </c>
      <c r="D357" s="5">
        <v>46154</v>
      </c>
      <c r="E357" s="9">
        <v>20512176594</v>
      </c>
      <c r="F357" s="10" t="s">
        <v>231</v>
      </c>
      <c r="G357" s="10"/>
      <c r="I357" s="13">
        <v>50</v>
      </c>
      <c r="J357" s="17" t="s">
        <v>250</v>
      </c>
      <c r="K357" s="19" t="s">
        <v>647</v>
      </c>
      <c r="L357" s="20" t="s">
        <v>648</v>
      </c>
      <c r="M357" s="16">
        <v>7.1203560000000001</v>
      </c>
      <c r="N357" s="16">
        <v>356.01780000000002</v>
      </c>
    </row>
    <row r="358" spans="1:15" x14ac:dyDescent="0.3">
      <c r="A358" s="2" t="s">
        <v>146</v>
      </c>
      <c r="B358" s="2">
        <v>1</v>
      </c>
      <c r="C358" s="2" t="s">
        <v>189</v>
      </c>
      <c r="D358" s="5">
        <v>46154</v>
      </c>
      <c r="E358" s="9">
        <v>20512176594</v>
      </c>
      <c r="F358" s="10" t="s">
        <v>231</v>
      </c>
      <c r="G358" s="10"/>
      <c r="I358" s="13">
        <f>+[1]!PRODUCTOS[[#This Row],[CANT.]]</f>
        <v>100</v>
      </c>
      <c r="J358" s="17" t="s">
        <v>250</v>
      </c>
      <c r="K358" s="19" t="s">
        <v>649</v>
      </c>
      <c r="L358" s="20" t="s">
        <v>650</v>
      </c>
      <c r="M358" s="16">
        <f>+[1]!PRODUCTOS[[#This Row],[PRECIO]]*18%+[1]!PRODUCTOS[[#This Row],[PRECIO]]</f>
        <v>3.9800219999999999</v>
      </c>
      <c r="N358" s="16">
        <f>+[1]!PRODUCTOS[[#This Row],[PRECIOCIGV]]*[1]!PRODUCTOS[[#This Row],[CANTIDAD]]</f>
        <v>398.00220000000002</v>
      </c>
    </row>
    <row r="359" spans="1:15" x14ac:dyDescent="0.3">
      <c r="A359" s="2" t="s">
        <v>146</v>
      </c>
      <c r="B359" s="2">
        <v>1</v>
      </c>
      <c r="C359" s="2" t="s">
        <v>189</v>
      </c>
      <c r="D359" s="5">
        <v>46154</v>
      </c>
      <c r="E359" s="9">
        <v>20512176594</v>
      </c>
      <c r="F359" s="10" t="s">
        <v>231</v>
      </c>
      <c r="G359" s="10"/>
      <c r="I359" s="13">
        <v>25</v>
      </c>
      <c r="J359" s="17" t="s">
        <v>250</v>
      </c>
      <c r="K359" s="19" t="s">
        <v>651</v>
      </c>
      <c r="L359" s="20" t="s">
        <v>652</v>
      </c>
      <c r="M359" s="16">
        <v>8.4686240000000002</v>
      </c>
      <c r="N359" s="16">
        <v>211.71559999999999</v>
      </c>
    </row>
    <row r="360" spans="1:15" x14ac:dyDescent="0.3">
      <c r="A360" s="2" t="s">
        <v>146</v>
      </c>
      <c r="B360" s="2">
        <v>1</v>
      </c>
      <c r="C360" s="2" t="s">
        <v>189</v>
      </c>
      <c r="D360" s="5">
        <v>46154</v>
      </c>
      <c r="E360" s="9">
        <v>20512176594</v>
      </c>
      <c r="F360" s="10" t="s">
        <v>231</v>
      </c>
      <c r="G360" s="10"/>
      <c r="I360" s="13">
        <v>50</v>
      </c>
      <c r="J360" s="17" t="s">
        <v>250</v>
      </c>
      <c r="K360" s="19" t="s">
        <v>653</v>
      </c>
      <c r="L360" s="20" t="s">
        <v>654</v>
      </c>
      <c r="M360" s="16">
        <v>7.8498319999999993</v>
      </c>
      <c r="N360" s="16">
        <v>392.49159999999995</v>
      </c>
    </row>
    <row r="361" spans="1:15" x14ac:dyDescent="0.3">
      <c r="A361" s="2" t="s">
        <v>146</v>
      </c>
      <c r="B361" s="2">
        <v>1</v>
      </c>
      <c r="C361" s="2" t="s">
        <v>189</v>
      </c>
      <c r="D361" s="5">
        <v>46154</v>
      </c>
      <c r="E361" s="9">
        <v>20512176594</v>
      </c>
      <c r="F361" s="10" t="s">
        <v>231</v>
      </c>
      <c r="G361" s="10"/>
      <c r="I361" s="13">
        <f>+[1]!PRODUCTOS[[#This Row],[CANT.]]</f>
        <v>50</v>
      </c>
      <c r="J361" s="17" t="s">
        <v>250</v>
      </c>
      <c r="K361" s="19" t="s">
        <v>655</v>
      </c>
      <c r="L361" s="20" t="s">
        <v>656</v>
      </c>
      <c r="M361" s="16">
        <f>+[1]!PRODUCTOS[[#This Row],[PRECIO]]*18%+[1]!PRODUCTOS[[#This Row],[PRECIO]]</f>
        <v>7.1203560000000001</v>
      </c>
      <c r="N361" s="16">
        <f>+[1]!PRODUCTOS[[#This Row],[PRECIOCIGV]]*[1]!PRODUCTOS[[#This Row],[CANTIDAD]]</f>
        <v>356.01780000000002</v>
      </c>
    </row>
    <row r="362" spans="1:15" x14ac:dyDescent="0.3">
      <c r="A362" s="2" t="s">
        <v>146</v>
      </c>
      <c r="B362" s="2">
        <v>1</v>
      </c>
      <c r="C362" s="2" t="s">
        <v>189</v>
      </c>
      <c r="D362" s="5">
        <v>46154</v>
      </c>
      <c r="E362" s="9">
        <v>20512176594</v>
      </c>
      <c r="F362" s="10" t="s">
        <v>231</v>
      </c>
      <c r="G362" s="10"/>
      <c r="I362" s="13">
        <f>+[1]!PRODUCTOS[[#This Row],[CANT.]]</f>
        <v>25</v>
      </c>
      <c r="J362" s="17" t="s">
        <v>250</v>
      </c>
      <c r="K362" s="19" t="s">
        <v>657</v>
      </c>
      <c r="L362" s="20" t="s">
        <v>658</v>
      </c>
      <c r="M362" s="16">
        <f>+[1]!PRODUCTOS[[#This Row],[PRECIO]]*18%+[1]!PRODUCTOS[[#This Row],[PRECIO]]</f>
        <v>11.4224</v>
      </c>
      <c r="N362" s="16">
        <f>+[1]!PRODUCTOS[[#This Row],[PRECIOCIGV]]*[1]!PRODUCTOS[[#This Row],[CANTIDAD]]</f>
        <v>285.56</v>
      </c>
    </row>
    <row r="363" spans="1:15" x14ac:dyDescent="0.3">
      <c r="A363" s="2" t="s">
        <v>147</v>
      </c>
      <c r="B363" s="2" t="s">
        <v>190</v>
      </c>
      <c r="C363" s="2" t="s">
        <v>189</v>
      </c>
      <c r="D363" s="5">
        <v>46154</v>
      </c>
      <c r="E363" s="9">
        <v>20100029741</v>
      </c>
      <c r="F363" s="10" t="s">
        <v>210</v>
      </c>
      <c r="G363" s="10"/>
      <c r="I363" s="13">
        <v>1</v>
      </c>
      <c r="J363" s="17" t="s">
        <v>250</v>
      </c>
      <c r="K363" s="15" t="s">
        <v>340</v>
      </c>
      <c r="L363" s="16" t="s">
        <v>341</v>
      </c>
      <c r="M363" s="16">
        <v>884.16999979999991</v>
      </c>
      <c r="N363" s="16">
        <v>884.16999979999991</v>
      </c>
      <c r="O363" s="22" t="s">
        <v>489</v>
      </c>
    </row>
    <row r="364" spans="1:15" x14ac:dyDescent="0.3">
      <c r="A364" s="2" t="s">
        <v>148</v>
      </c>
      <c r="B364" s="2" t="s">
        <v>190</v>
      </c>
      <c r="C364" s="2" t="s">
        <v>189</v>
      </c>
      <c r="D364" s="5">
        <v>46154</v>
      </c>
      <c r="E364" s="9">
        <v>20100029741</v>
      </c>
      <c r="F364" s="10" t="s">
        <v>210</v>
      </c>
      <c r="G364" s="10"/>
      <c r="I364" s="13">
        <v>1</v>
      </c>
      <c r="J364" s="17" t="s">
        <v>250</v>
      </c>
      <c r="K364" s="15" t="s">
        <v>340</v>
      </c>
      <c r="L364" s="16" t="s">
        <v>341</v>
      </c>
      <c r="M364" s="16">
        <v>194.82000009999999</v>
      </c>
      <c r="N364" s="16">
        <v>194.82000009999999</v>
      </c>
      <c r="O364" s="22" t="s">
        <v>494</v>
      </c>
    </row>
    <row r="365" spans="1:15" x14ac:dyDescent="0.3">
      <c r="A365" s="2" t="s">
        <v>149</v>
      </c>
      <c r="B365" s="2" t="s">
        <v>190</v>
      </c>
      <c r="C365" s="2" t="s">
        <v>189</v>
      </c>
      <c r="D365" s="5">
        <v>46154</v>
      </c>
      <c r="E365" s="9">
        <v>20100029741</v>
      </c>
      <c r="F365" s="10" t="s">
        <v>210</v>
      </c>
      <c r="G365" s="10"/>
      <c r="I365" s="13">
        <v>1</v>
      </c>
      <c r="J365" s="17" t="s">
        <v>250</v>
      </c>
      <c r="K365" s="15" t="s">
        <v>340</v>
      </c>
      <c r="L365" s="16" t="s">
        <v>341</v>
      </c>
      <c r="M365" s="16">
        <v>89.92000019999999</v>
      </c>
      <c r="N365" s="16">
        <v>89.92000019999999</v>
      </c>
      <c r="O365" s="22" t="s">
        <v>344</v>
      </c>
    </row>
    <row r="366" spans="1:15" x14ac:dyDescent="0.3">
      <c r="A366" s="2" t="s">
        <v>150</v>
      </c>
      <c r="B366" s="2">
        <v>1</v>
      </c>
      <c r="C366" s="2" t="s">
        <v>189</v>
      </c>
      <c r="D366" s="5">
        <v>46156</v>
      </c>
      <c r="E366" s="9">
        <v>20610843876</v>
      </c>
      <c r="F366" s="10" t="s">
        <v>233</v>
      </c>
      <c r="G366" s="10"/>
      <c r="I366" s="13">
        <f>+[1]!PRODUCTOS[[#This Row],[CANT.]]*1000</f>
        <v>200000</v>
      </c>
      <c r="J366" s="17" t="s">
        <v>250</v>
      </c>
      <c r="K366" s="19" t="s">
        <v>351</v>
      </c>
      <c r="L366" s="20" t="s">
        <v>352</v>
      </c>
      <c r="M366" s="16">
        <f>+[1]!PRODUCTOS[[#This Row],[PRECIO]]*18%+[1]!PRODUCTOS[[#This Row],[PRECIO]]</f>
        <v>0.99119999999999997</v>
      </c>
      <c r="N366" s="16">
        <f>+[1]!PRODUCTOS[[#This Row],[PRECIOCIGV]]*[1]!PRODUCTOS[[#This Row],[CANTIDAD]]</f>
        <v>198.23999999999998</v>
      </c>
    </row>
    <row r="367" spans="1:15" x14ac:dyDescent="0.3">
      <c r="A367" s="2" t="s">
        <v>151</v>
      </c>
      <c r="B367" s="2">
        <v>1</v>
      </c>
      <c r="C367" s="2" t="s">
        <v>189</v>
      </c>
      <c r="D367" s="5">
        <v>46156</v>
      </c>
      <c r="E367" s="9">
        <v>20601748933</v>
      </c>
      <c r="F367" s="10" t="s">
        <v>234</v>
      </c>
      <c r="G367" s="10"/>
      <c r="I367" s="13">
        <f>+[1]!PRODUCTOS[[#This Row],[CANT.]]*1000</f>
        <v>1000</v>
      </c>
      <c r="J367" s="19" t="s">
        <v>250</v>
      </c>
      <c r="K367" s="19" t="s">
        <v>351</v>
      </c>
      <c r="L367" s="20" t="s">
        <v>352</v>
      </c>
      <c r="M367" s="16">
        <f>+[1]!PRODUCTOS[[#This Row],[PRECIO]]*18%+[1]!PRODUCTOS[[#This Row],[PRECIO]]</f>
        <v>884.16999979999991</v>
      </c>
      <c r="N367" s="16">
        <f>+[1]!PRODUCTOS[[#This Row],[PRECIOCIGV]]*[1]!PRODUCTOS[[#This Row],[CANTIDAD]]</f>
        <v>884.16999979999991</v>
      </c>
    </row>
    <row r="368" spans="1:15" x14ac:dyDescent="0.3">
      <c r="A368" s="2" t="s">
        <v>152</v>
      </c>
      <c r="B368" s="2">
        <v>1</v>
      </c>
      <c r="C368" s="2" t="s">
        <v>189</v>
      </c>
      <c r="D368" s="5">
        <v>46156</v>
      </c>
      <c r="E368" s="9">
        <v>20605639845</v>
      </c>
      <c r="F368" s="10" t="s">
        <v>235</v>
      </c>
      <c r="G368" s="10"/>
      <c r="I368" s="13">
        <f>+[1]!PRODUCTOS[[#This Row],[CANT.]]*1000</f>
        <v>1000</v>
      </c>
      <c r="J368" s="19" t="s">
        <v>250</v>
      </c>
      <c r="K368" s="19" t="s">
        <v>351</v>
      </c>
      <c r="L368" s="20" t="s">
        <v>352</v>
      </c>
      <c r="M368" s="16">
        <f>+[1]!PRODUCTOS[[#This Row],[PRECIO]]*18%+[1]!PRODUCTOS[[#This Row],[PRECIO]]</f>
        <v>194.82000010000002</v>
      </c>
      <c r="N368" s="16">
        <f>+[1]!PRODUCTOS[[#This Row],[PRECIOCIGV]]*[1]!PRODUCTOS[[#This Row],[CANTIDAD]]</f>
        <v>194.82000009999999</v>
      </c>
    </row>
    <row r="369" spans="1:14" x14ac:dyDescent="0.3">
      <c r="A369" s="2" t="s">
        <v>153</v>
      </c>
      <c r="B369" s="2">
        <v>1</v>
      </c>
      <c r="C369" s="2" t="s">
        <v>189</v>
      </c>
      <c r="D369" s="5">
        <v>46157</v>
      </c>
      <c r="E369" s="9">
        <v>20100029741</v>
      </c>
      <c r="F369" s="10" t="s">
        <v>210</v>
      </c>
      <c r="G369" s="10"/>
      <c r="I369" s="13">
        <v>650</v>
      </c>
      <c r="J369" s="17" t="s">
        <v>250</v>
      </c>
      <c r="K369" s="15" t="s">
        <v>260</v>
      </c>
      <c r="L369" s="16" t="s">
        <v>261</v>
      </c>
      <c r="M369" s="16">
        <v>29.79995954</v>
      </c>
      <c r="N369" s="16">
        <v>19369.973700999999</v>
      </c>
    </row>
    <row r="370" spans="1:14" x14ac:dyDescent="0.3">
      <c r="A370" s="2" t="s">
        <v>154</v>
      </c>
      <c r="B370" s="2">
        <v>1</v>
      </c>
      <c r="C370" s="2" t="s">
        <v>189</v>
      </c>
      <c r="D370" s="5">
        <v>46160</v>
      </c>
      <c r="E370" s="9">
        <v>20100265479</v>
      </c>
      <c r="F370" s="10" t="s">
        <v>209</v>
      </c>
      <c r="G370" s="10"/>
      <c r="I370" s="13">
        <v>6</v>
      </c>
      <c r="J370" s="17" t="s">
        <v>250</v>
      </c>
      <c r="K370" s="15" t="s">
        <v>659</v>
      </c>
      <c r="L370" s="16" t="s">
        <v>660</v>
      </c>
      <c r="M370" s="16">
        <v>49.489199999999997</v>
      </c>
      <c r="N370" s="16">
        <v>296.93520000000001</v>
      </c>
    </row>
    <row r="371" spans="1:14" x14ac:dyDescent="0.3">
      <c r="A371" s="2" t="s">
        <v>154</v>
      </c>
      <c r="B371" s="2">
        <v>1</v>
      </c>
      <c r="C371" s="2" t="s">
        <v>189</v>
      </c>
      <c r="D371" s="5">
        <v>46160</v>
      </c>
      <c r="E371" s="9">
        <v>20100265479</v>
      </c>
      <c r="F371" s="10" t="s">
        <v>209</v>
      </c>
      <c r="G371" s="10"/>
      <c r="I371" s="13">
        <v>6</v>
      </c>
      <c r="J371" s="17" t="s">
        <v>250</v>
      </c>
      <c r="K371" s="15" t="s">
        <v>661</v>
      </c>
      <c r="L371" s="16" t="s">
        <v>662</v>
      </c>
      <c r="M371" s="16">
        <v>16.378399999999999</v>
      </c>
      <c r="N371" s="16">
        <v>98.270399999999995</v>
      </c>
    </row>
    <row r="372" spans="1:14" x14ac:dyDescent="0.3">
      <c r="A372" s="2" t="s">
        <v>154</v>
      </c>
      <c r="B372" s="2">
        <v>1</v>
      </c>
      <c r="C372" s="2" t="s">
        <v>189</v>
      </c>
      <c r="D372" s="5">
        <v>46160</v>
      </c>
      <c r="E372" s="9">
        <v>20100265479</v>
      </c>
      <c r="F372" s="10" t="s">
        <v>209</v>
      </c>
      <c r="G372" s="10"/>
      <c r="I372" s="13">
        <v>12</v>
      </c>
      <c r="J372" s="17" t="s">
        <v>250</v>
      </c>
      <c r="K372" s="15" t="s">
        <v>322</v>
      </c>
      <c r="L372" s="16" t="s">
        <v>323</v>
      </c>
      <c r="M372" s="16">
        <v>39.907599999999995</v>
      </c>
      <c r="N372" s="16">
        <v>478.89119999999991</v>
      </c>
    </row>
    <row r="373" spans="1:14" x14ac:dyDescent="0.3">
      <c r="A373" s="2" t="s">
        <v>154</v>
      </c>
      <c r="B373" s="2">
        <v>1</v>
      </c>
      <c r="C373" s="2" t="s">
        <v>189</v>
      </c>
      <c r="D373" s="5">
        <v>46160</v>
      </c>
      <c r="E373" s="9">
        <v>20100265479</v>
      </c>
      <c r="F373" s="10" t="s">
        <v>209</v>
      </c>
      <c r="G373" s="10"/>
      <c r="I373" s="13">
        <v>6</v>
      </c>
      <c r="J373" s="17" t="s">
        <v>250</v>
      </c>
      <c r="K373" s="15" t="s">
        <v>324</v>
      </c>
      <c r="L373" s="16" t="s">
        <v>325</v>
      </c>
      <c r="M373" s="16">
        <v>19.163199999999996</v>
      </c>
      <c r="N373" s="16">
        <v>114.97919999999998</v>
      </c>
    </row>
    <row r="374" spans="1:14" x14ac:dyDescent="0.3">
      <c r="A374" s="2" t="s">
        <v>154</v>
      </c>
      <c r="B374" s="2">
        <v>1</v>
      </c>
      <c r="C374" s="2" t="s">
        <v>189</v>
      </c>
      <c r="D374" s="5">
        <v>46160</v>
      </c>
      <c r="E374" s="9">
        <v>20100265479</v>
      </c>
      <c r="F374" s="10" t="s">
        <v>209</v>
      </c>
      <c r="G374" s="10"/>
      <c r="I374" s="13">
        <v>1</v>
      </c>
      <c r="J374" s="17" t="s">
        <v>250</v>
      </c>
      <c r="K374" s="15" t="s">
        <v>659</v>
      </c>
      <c r="L374" s="16" t="s">
        <v>660</v>
      </c>
      <c r="M374" s="16">
        <v>0</v>
      </c>
      <c r="N374" s="16">
        <v>0</v>
      </c>
    </row>
    <row r="375" spans="1:14" x14ac:dyDescent="0.3">
      <c r="A375" s="2" t="s">
        <v>155</v>
      </c>
      <c r="B375" s="2">
        <v>1</v>
      </c>
      <c r="C375" s="2" t="s">
        <v>191</v>
      </c>
      <c r="D375" s="5">
        <v>46161</v>
      </c>
      <c r="E375" s="9">
        <v>20100029741</v>
      </c>
      <c r="F375" s="10" t="s">
        <v>210</v>
      </c>
      <c r="G375" s="10"/>
      <c r="I375" s="13">
        <v>232</v>
      </c>
      <c r="J375" s="17" t="s">
        <v>250</v>
      </c>
      <c r="K375" s="15" t="s">
        <v>413</v>
      </c>
      <c r="L375" s="16" t="s">
        <v>414</v>
      </c>
      <c r="M375" s="16">
        <v>9.7413790799999997</v>
      </c>
      <c r="N375" s="16">
        <v>2259.9999465599999</v>
      </c>
    </row>
    <row r="376" spans="1:14" x14ac:dyDescent="0.3">
      <c r="A376" s="2" t="s">
        <v>155</v>
      </c>
      <c r="B376" s="2">
        <v>1</v>
      </c>
      <c r="C376" s="2" t="s">
        <v>191</v>
      </c>
      <c r="D376" s="5">
        <v>46161</v>
      </c>
      <c r="E376" s="9">
        <v>20100029741</v>
      </c>
      <c r="F376" s="10" t="s">
        <v>210</v>
      </c>
      <c r="G376" s="10"/>
      <c r="I376" s="13">
        <v>416</v>
      </c>
      <c r="J376" s="17" t="s">
        <v>250</v>
      </c>
      <c r="K376" s="15" t="s">
        <v>334</v>
      </c>
      <c r="L376" s="16" t="s">
        <v>335</v>
      </c>
      <c r="M376" s="16">
        <v>5.4326916800000005</v>
      </c>
      <c r="N376" s="16">
        <v>2259.9997388800002</v>
      </c>
    </row>
    <row r="377" spans="1:14" x14ac:dyDescent="0.3">
      <c r="A377" s="2" t="s">
        <v>155</v>
      </c>
      <c r="B377" s="2">
        <v>1</v>
      </c>
      <c r="C377" s="2" t="s">
        <v>191</v>
      </c>
      <c r="D377" s="5">
        <v>46161</v>
      </c>
      <c r="E377" s="9">
        <v>20100029741</v>
      </c>
      <c r="F377" s="10" t="s">
        <v>210</v>
      </c>
      <c r="G377" s="10"/>
      <c r="I377" s="13">
        <v>150</v>
      </c>
      <c r="J377" s="17" t="s">
        <v>250</v>
      </c>
      <c r="K377" s="15" t="s">
        <v>336</v>
      </c>
      <c r="L377" s="16" t="s">
        <v>337</v>
      </c>
      <c r="M377" s="16">
        <v>15.06666716</v>
      </c>
      <c r="N377" s="16">
        <v>2260.000074</v>
      </c>
    </row>
    <row r="378" spans="1:14" x14ac:dyDescent="0.3">
      <c r="A378" s="2" t="s">
        <v>156</v>
      </c>
      <c r="B378" s="2">
        <v>1</v>
      </c>
      <c r="C378" s="2" t="s">
        <v>189</v>
      </c>
      <c r="D378" s="5">
        <v>46162</v>
      </c>
      <c r="E378" s="9">
        <v>20508715332</v>
      </c>
      <c r="F378" s="10" t="s">
        <v>219</v>
      </c>
      <c r="G378" s="10"/>
      <c r="I378" s="13">
        <v>1500</v>
      </c>
      <c r="J378" s="17" t="s">
        <v>262</v>
      </c>
      <c r="K378" s="19" t="s">
        <v>263</v>
      </c>
      <c r="L378" s="20" t="s">
        <v>264</v>
      </c>
      <c r="M378" s="16">
        <v>3.0499999259999999</v>
      </c>
      <c r="N378" s="16">
        <v>4574.9998889999997</v>
      </c>
    </row>
    <row r="379" spans="1:14" x14ac:dyDescent="0.3">
      <c r="A379" s="2" t="s">
        <v>157</v>
      </c>
      <c r="B379" s="2">
        <v>1</v>
      </c>
      <c r="C379" s="2" t="s">
        <v>189</v>
      </c>
      <c r="D379" s="5">
        <v>46163</v>
      </c>
      <c r="E379" s="9">
        <v>20545134293</v>
      </c>
      <c r="F379" s="10" t="s">
        <v>225</v>
      </c>
      <c r="G379" s="10"/>
      <c r="I379" s="13">
        <f>+[1]!PRODUCTOS[[#This Row],[CANT.]]*1000</f>
        <v>232000</v>
      </c>
      <c r="J379" s="17" t="s">
        <v>250</v>
      </c>
      <c r="K379" s="19" t="s">
        <v>351</v>
      </c>
      <c r="L379" s="20" t="s">
        <v>352</v>
      </c>
      <c r="M379" s="16">
        <f>+[1]!PRODUCTOS[[#This Row],[PRECIO]]*18%+[1]!PRODUCTOS[[#This Row],[PRECIO]]</f>
        <v>9.7413790800000015</v>
      </c>
      <c r="N379" s="16">
        <f>+[1]!PRODUCTOS[[#This Row],[PRECIOCIGV]]*[1]!PRODUCTOS[[#This Row],[CANTIDAD]]</f>
        <v>2259.9999465599999</v>
      </c>
    </row>
    <row r="380" spans="1:14" x14ac:dyDescent="0.3">
      <c r="A380" s="2" t="s">
        <v>158</v>
      </c>
      <c r="B380" s="2">
        <v>1</v>
      </c>
      <c r="C380" s="2" t="s">
        <v>189</v>
      </c>
      <c r="D380" s="5">
        <v>46163</v>
      </c>
      <c r="E380" s="9">
        <v>20608800868</v>
      </c>
      <c r="F380" s="10" t="s">
        <v>200</v>
      </c>
      <c r="G380" s="10"/>
      <c r="I380" s="13">
        <v>21</v>
      </c>
      <c r="J380" s="17" t="s">
        <v>250</v>
      </c>
      <c r="K380" s="15" t="s">
        <v>430</v>
      </c>
      <c r="L380" s="16" t="s">
        <v>431</v>
      </c>
      <c r="M380" s="16">
        <v>7.7999999981999988</v>
      </c>
      <c r="N380" s="16">
        <v>163.79999996219996</v>
      </c>
    </row>
    <row r="381" spans="1:14" x14ac:dyDescent="0.3">
      <c r="A381" s="2" t="s">
        <v>158</v>
      </c>
      <c r="B381" s="2">
        <v>1</v>
      </c>
      <c r="C381" s="2" t="s">
        <v>189</v>
      </c>
      <c r="D381" s="5">
        <v>46163</v>
      </c>
      <c r="E381" s="9">
        <v>20608800868</v>
      </c>
      <c r="F381" s="10" t="s">
        <v>200</v>
      </c>
      <c r="G381" s="10"/>
      <c r="I381" s="13">
        <v>42</v>
      </c>
      <c r="J381" s="17" t="s">
        <v>250</v>
      </c>
      <c r="K381" s="15" t="s">
        <v>338</v>
      </c>
      <c r="L381" s="16" t="s">
        <v>339</v>
      </c>
      <c r="M381" s="16">
        <v>13.999999905999999</v>
      </c>
      <c r="N381" s="16">
        <v>587.99999605199991</v>
      </c>
    </row>
    <row r="382" spans="1:14" x14ac:dyDescent="0.3">
      <c r="A382" s="2" t="s">
        <v>158</v>
      </c>
      <c r="B382" s="2">
        <v>1</v>
      </c>
      <c r="C382" s="2" t="s">
        <v>189</v>
      </c>
      <c r="D382" s="5">
        <v>46163</v>
      </c>
      <c r="E382" s="9">
        <v>20608800868</v>
      </c>
      <c r="F382" s="10" t="s">
        <v>200</v>
      </c>
      <c r="G382" s="10"/>
      <c r="I382" s="13">
        <v>2649</v>
      </c>
      <c r="J382" s="17" t="s">
        <v>250</v>
      </c>
      <c r="K382" s="15" t="s">
        <v>334</v>
      </c>
      <c r="L382" s="16" t="s">
        <v>335</v>
      </c>
      <c r="M382" s="16">
        <v>18.499999998</v>
      </c>
      <c r="N382" s="16">
        <v>49006.499994701997</v>
      </c>
    </row>
    <row r="383" spans="1:14" x14ac:dyDescent="0.3">
      <c r="A383" s="2" t="s">
        <v>158</v>
      </c>
      <c r="B383" s="2">
        <v>1</v>
      </c>
      <c r="C383" s="2" t="s">
        <v>189</v>
      </c>
      <c r="D383" s="5">
        <v>46163</v>
      </c>
      <c r="E383" s="9">
        <v>20608800868</v>
      </c>
      <c r="F383" s="10" t="s">
        <v>200</v>
      </c>
      <c r="G383" s="10"/>
      <c r="I383" s="13">
        <v>264</v>
      </c>
      <c r="J383" s="17" t="s">
        <v>250</v>
      </c>
      <c r="K383" s="15" t="s">
        <v>413</v>
      </c>
      <c r="L383" s="16" t="s">
        <v>414</v>
      </c>
      <c r="M383" s="16">
        <v>33.199999975999994</v>
      </c>
      <c r="N383" s="16">
        <v>8764.799993663999</v>
      </c>
    </row>
    <row r="384" spans="1:14" x14ac:dyDescent="0.3">
      <c r="A384" s="2" t="s">
        <v>158</v>
      </c>
      <c r="B384" s="2">
        <v>1</v>
      </c>
      <c r="C384" s="2" t="s">
        <v>189</v>
      </c>
      <c r="D384" s="5">
        <v>46163</v>
      </c>
      <c r="E384" s="9">
        <v>20608800868</v>
      </c>
      <c r="F384" s="10" t="s">
        <v>200</v>
      </c>
      <c r="G384" s="10"/>
      <c r="I384" s="13">
        <v>469</v>
      </c>
      <c r="J384" s="17" t="s">
        <v>250</v>
      </c>
      <c r="K384" s="15" t="s">
        <v>336</v>
      </c>
      <c r="L384" s="16" t="s">
        <v>337</v>
      </c>
      <c r="M384" s="16">
        <v>51.299999998600001</v>
      </c>
      <c r="N384" s="16">
        <v>24059.6999993434</v>
      </c>
    </row>
    <row r="385" spans="1:15" x14ac:dyDescent="0.3">
      <c r="A385" s="2" t="s">
        <v>158</v>
      </c>
      <c r="B385" s="2">
        <v>1</v>
      </c>
      <c r="C385" s="2" t="s">
        <v>189</v>
      </c>
      <c r="D385" s="5">
        <v>46163</v>
      </c>
      <c r="E385" s="9">
        <v>20608800868</v>
      </c>
      <c r="F385" s="10" t="s">
        <v>200</v>
      </c>
      <c r="G385" s="10"/>
      <c r="I385" s="13">
        <v>37</v>
      </c>
      <c r="J385" s="17" t="s">
        <v>250</v>
      </c>
      <c r="K385" s="15" t="s">
        <v>318</v>
      </c>
      <c r="L385" s="16" t="s">
        <v>319</v>
      </c>
      <c r="M385" s="16">
        <v>76.999999896000006</v>
      </c>
      <c r="N385" s="16">
        <v>2848.9999961520002</v>
      </c>
    </row>
    <row r="386" spans="1:15" x14ac:dyDescent="0.3">
      <c r="A386" s="2" t="s">
        <v>159</v>
      </c>
      <c r="B386" s="2">
        <v>1</v>
      </c>
      <c r="C386" s="2" t="s">
        <v>189</v>
      </c>
      <c r="D386" s="5">
        <v>46163</v>
      </c>
      <c r="E386" s="9">
        <v>20100029741</v>
      </c>
      <c r="F386" s="10" t="s">
        <v>210</v>
      </c>
      <c r="G386" s="10"/>
      <c r="I386" s="13">
        <f>+[1]!PRODUCTOS[[#This Row],[CANT.]]</f>
        <v>2649</v>
      </c>
      <c r="J386" s="19" t="s">
        <v>250</v>
      </c>
      <c r="K386" s="19" t="s">
        <v>257</v>
      </c>
      <c r="L386" s="20" t="s">
        <v>258</v>
      </c>
      <c r="M386" s="16">
        <f>+[1]!PRODUCTOS[[#This Row],[PRECIO]]*18%+[1]!PRODUCTOS[[#This Row],[PRECIO]]</f>
        <v>18.499999998</v>
      </c>
      <c r="N386" s="16">
        <f>+[1]!PRODUCTOS[[#This Row],[PRECIOCIGV]]*[1]!PRODUCTOS[[#This Row],[CANTIDAD]]</f>
        <v>49006.499994701997</v>
      </c>
      <c r="O386" s="22" t="s">
        <v>663</v>
      </c>
    </row>
    <row r="387" spans="1:15" x14ac:dyDescent="0.3">
      <c r="A387" s="2" t="s">
        <v>160</v>
      </c>
      <c r="B387" s="2">
        <v>1</v>
      </c>
      <c r="C387" s="2" t="s">
        <v>189</v>
      </c>
      <c r="D387" s="5">
        <v>46163</v>
      </c>
      <c r="E387" s="9">
        <v>20100029741</v>
      </c>
      <c r="F387" s="10" t="s">
        <v>210</v>
      </c>
      <c r="G387" s="10"/>
      <c r="I387" s="13">
        <v>400</v>
      </c>
      <c r="J387" s="17" t="s">
        <v>250</v>
      </c>
      <c r="K387" s="15" t="s">
        <v>260</v>
      </c>
      <c r="L387" s="16" t="s">
        <v>261</v>
      </c>
      <c r="M387" s="16">
        <v>29.79995954</v>
      </c>
      <c r="N387" s="16">
        <v>11919.983816</v>
      </c>
    </row>
    <row r="388" spans="1:15" x14ac:dyDescent="0.3">
      <c r="A388" s="2" t="s">
        <v>161</v>
      </c>
      <c r="B388" s="2" t="s">
        <v>190</v>
      </c>
      <c r="C388" s="2" t="s">
        <v>189</v>
      </c>
      <c r="D388" s="5">
        <v>46163</v>
      </c>
      <c r="E388" s="9">
        <v>20100029741</v>
      </c>
      <c r="F388" s="10" t="s">
        <v>210</v>
      </c>
      <c r="G388" s="10"/>
      <c r="I388" s="13">
        <v>1</v>
      </c>
      <c r="J388" s="19" t="s">
        <v>250</v>
      </c>
      <c r="K388" s="19">
        <v>60914</v>
      </c>
      <c r="L388" s="20" t="s">
        <v>341</v>
      </c>
      <c r="M388" s="16">
        <f>+[1]!PRODUCTOS[[#This Row],[PRECIO]]*18%+[1]!PRODUCTOS[[#This Row],[PRECIO]]</f>
        <v>51.299999998600001</v>
      </c>
      <c r="N388" s="16">
        <f>+[1]!PRODUCTOS[[#This Row],[PRECIOCIGV]]*[1]!PRODUCTOS[[#This Row],[CANTIDAD]]</f>
        <v>24059.6999993434</v>
      </c>
      <c r="O388" s="22" t="s">
        <v>663</v>
      </c>
    </row>
    <row r="389" spans="1:15" x14ac:dyDescent="0.3">
      <c r="A389" s="2" t="s">
        <v>162</v>
      </c>
      <c r="B389" s="2">
        <v>1</v>
      </c>
      <c r="C389" s="2" t="s">
        <v>189</v>
      </c>
      <c r="D389" s="5">
        <v>46164</v>
      </c>
      <c r="E389" s="9">
        <v>20608800868</v>
      </c>
      <c r="F389" s="10" t="s">
        <v>200</v>
      </c>
      <c r="G389" s="10"/>
      <c r="I389" s="13">
        <v>400</v>
      </c>
      <c r="J389" s="17" t="s">
        <v>250</v>
      </c>
      <c r="K389" s="15" t="s">
        <v>430</v>
      </c>
      <c r="L389" s="16" t="s">
        <v>431</v>
      </c>
      <c r="M389" s="16">
        <v>7.8999999997199994</v>
      </c>
      <c r="N389" s="16">
        <v>3159.9999998879998</v>
      </c>
    </row>
    <row r="390" spans="1:15" x14ac:dyDescent="0.3">
      <c r="A390" s="2" t="s">
        <v>162</v>
      </c>
      <c r="B390" s="2">
        <v>1</v>
      </c>
      <c r="C390" s="2" t="s">
        <v>189</v>
      </c>
      <c r="D390" s="5">
        <v>46164</v>
      </c>
      <c r="E390" s="9">
        <v>20608800868</v>
      </c>
      <c r="F390" s="10" t="s">
        <v>200</v>
      </c>
      <c r="G390" s="10"/>
      <c r="I390" s="13">
        <v>200</v>
      </c>
      <c r="J390" s="17" t="s">
        <v>250</v>
      </c>
      <c r="K390" s="15" t="s">
        <v>338</v>
      </c>
      <c r="L390" s="16" t="s">
        <v>339</v>
      </c>
      <c r="M390" s="16">
        <v>13.999999905999999</v>
      </c>
      <c r="N390" s="16">
        <v>2799.9999811999996</v>
      </c>
    </row>
    <row r="391" spans="1:15" x14ac:dyDescent="0.3">
      <c r="A391" s="2" t="s">
        <v>163</v>
      </c>
      <c r="B391" s="2">
        <v>1</v>
      </c>
      <c r="C391" s="2" t="s">
        <v>189</v>
      </c>
      <c r="D391" s="5">
        <v>46164</v>
      </c>
      <c r="E391" s="9">
        <v>20600732375</v>
      </c>
      <c r="F391" s="10" t="s">
        <v>211</v>
      </c>
      <c r="G391" s="10"/>
      <c r="I391" s="13">
        <f>+[1]!PRODUCTOS[[#This Row],[CANT.]]</f>
        <v>400</v>
      </c>
      <c r="J391" s="17" t="s">
        <v>250</v>
      </c>
      <c r="K391" s="19" t="s">
        <v>664</v>
      </c>
      <c r="L391" s="20" t="s">
        <v>665</v>
      </c>
      <c r="M391" s="16">
        <f>+[1]!PRODUCTOS[[#This Row],[PRECIO]]*18%+[1]!PRODUCTOS[[#This Row],[PRECIO]]</f>
        <v>29.79995954</v>
      </c>
      <c r="N391" s="16">
        <f>+[1]!PRODUCTOS[[#This Row],[PRECIOCIGV]]*[1]!PRODUCTOS[[#This Row],[CANTIDAD]]</f>
        <v>11919.983816</v>
      </c>
    </row>
    <row r="392" spans="1:15" x14ac:dyDescent="0.3">
      <c r="A392" s="3" t="s">
        <v>164</v>
      </c>
      <c r="B392" s="3">
        <v>1</v>
      </c>
      <c r="C392" s="3" t="s">
        <v>189</v>
      </c>
      <c r="D392" s="6">
        <v>46164</v>
      </c>
      <c r="E392" s="9">
        <v>20514134155</v>
      </c>
      <c r="F392" s="10" t="s">
        <v>237</v>
      </c>
      <c r="G392" s="10"/>
      <c r="I392" s="13">
        <f>+[1]!PRODUCTOS[[#This Row],[CANT.]]*1000</f>
        <v>1000</v>
      </c>
      <c r="J392" s="17" t="s">
        <v>250</v>
      </c>
      <c r="K392" s="15" t="s">
        <v>627</v>
      </c>
      <c r="L392" s="16" t="s">
        <v>628</v>
      </c>
      <c r="M392" s="16">
        <f>+[1]!PRODUCTOS[[#This Row],[PRECIO]]*18%+[1]!PRODUCTOS[[#This Row],[PRECIO]]</f>
        <v>66.964910320000001</v>
      </c>
      <c r="N392" s="16">
        <f>+[1]!PRODUCTOS[[#This Row],[PRECIOCIGV]]*[1]!PRODUCTOS[[#This Row],[CANTIDAD]]</f>
        <v>66.964910320000001</v>
      </c>
    </row>
    <row r="393" spans="1:15" x14ac:dyDescent="0.3">
      <c r="A393" s="2" t="s">
        <v>165</v>
      </c>
      <c r="B393" s="2">
        <v>1</v>
      </c>
      <c r="C393" s="2" t="s">
        <v>189</v>
      </c>
      <c r="D393" s="5">
        <v>46164</v>
      </c>
      <c r="E393" s="9">
        <v>20556128384</v>
      </c>
      <c r="F393" s="10" t="s">
        <v>239</v>
      </c>
      <c r="G393" s="10"/>
      <c r="I393" s="13">
        <v>560</v>
      </c>
      <c r="J393" s="17" t="s">
        <v>250</v>
      </c>
      <c r="K393" s="19" t="s">
        <v>666</v>
      </c>
      <c r="L393" s="20" t="s">
        <v>667</v>
      </c>
      <c r="M393" s="16">
        <v>6.400000219999999</v>
      </c>
      <c r="N393" s="16">
        <v>3584.0001231999995</v>
      </c>
    </row>
    <row r="394" spans="1:15" x14ac:dyDescent="0.3">
      <c r="A394" s="2" t="s">
        <v>165</v>
      </c>
      <c r="B394" s="2">
        <v>1</v>
      </c>
      <c r="C394" s="2" t="s">
        <v>189</v>
      </c>
      <c r="D394" s="5">
        <v>46164</v>
      </c>
      <c r="E394" s="9">
        <v>20556128384</v>
      </c>
      <c r="F394" s="10" t="s">
        <v>239</v>
      </c>
      <c r="G394" s="10"/>
      <c r="I394" s="13">
        <v>320</v>
      </c>
      <c r="J394" s="17" t="s">
        <v>250</v>
      </c>
      <c r="K394" s="19" t="s">
        <v>668</v>
      </c>
      <c r="L394" s="20" t="s">
        <v>669</v>
      </c>
      <c r="M394" s="16">
        <v>5.3999997799999999</v>
      </c>
      <c r="N394" s="16">
        <v>1727.9999296000001</v>
      </c>
    </row>
    <row r="395" spans="1:15" x14ac:dyDescent="0.3">
      <c r="A395" s="2" t="s">
        <v>165</v>
      </c>
      <c r="B395" s="2">
        <v>1</v>
      </c>
      <c r="C395" s="2" t="s">
        <v>189</v>
      </c>
      <c r="D395" s="5">
        <v>46164</v>
      </c>
      <c r="E395" s="9">
        <v>20556128384</v>
      </c>
      <c r="F395" s="10" t="s">
        <v>239</v>
      </c>
      <c r="G395" s="10"/>
      <c r="I395" s="13">
        <f>+[1]!PRODUCTOS[[#This Row],[CANT.]]</f>
        <v>110</v>
      </c>
      <c r="J395" s="19" t="s">
        <v>250</v>
      </c>
      <c r="K395" s="19" t="s">
        <v>670</v>
      </c>
      <c r="L395" s="20" t="s">
        <v>671</v>
      </c>
      <c r="M395" s="16">
        <f>+[1]!PRODUCTOS[[#This Row],[PRECIO]]*18%+[1]!PRODUCTOS[[#This Row],[PRECIO]]</f>
        <v>4.8000004599999997</v>
      </c>
      <c r="N395" s="16">
        <f>+[1]!PRODUCTOS[[#This Row],[CANTIDAD]]*[1]!PRODUCTOS[[#This Row],[PRECIOCIGV]]</f>
        <v>528.00005060000001</v>
      </c>
    </row>
    <row r="396" spans="1:15" x14ac:dyDescent="0.3">
      <c r="A396" s="2" t="s">
        <v>165</v>
      </c>
      <c r="B396" s="2">
        <v>1</v>
      </c>
      <c r="C396" s="2" t="s">
        <v>189</v>
      </c>
      <c r="D396" s="5">
        <v>46164</v>
      </c>
      <c r="E396" s="9">
        <v>20556128384</v>
      </c>
      <c r="F396" s="10" t="s">
        <v>239</v>
      </c>
      <c r="G396" s="10"/>
      <c r="I396" s="13">
        <f>+[1]!PRODUCTOS[[#This Row],[CANT.]]</f>
        <v>10</v>
      </c>
      <c r="J396" s="19" t="s">
        <v>250</v>
      </c>
      <c r="K396" s="19" t="s">
        <v>672</v>
      </c>
      <c r="L396" s="20" t="s">
        <v>673</v>
      </c>
      <c r="M396" s="16">
        <f>+[1]!PRODUCTOS[[#This Row],[PRECIO]]*18%+[1]!PRODUCTOS[[#This Row],[PRECIO]]</f>
        <v>0.74000041999999999</v>
      </c>
      <c r="N396" s="16">
        <f>+[1]!PRODUCTOS[[#This Row],[CANTIDAD]]*[1]!PRODUCTOS[[#This Row],[PRECIOCIGV]]</f>
        <v>7400.0042000000003</v>
      </c>
    </row>
    <row r="397" spans="1:15" x14ac:dyDescent="0.3">
      <c r="A397" s="2" t="s">
        <v>165</v>
      </c>
      <c r="B397" s="2">
        <v>1</v>
      </c>
      <c r="C397" s="2" t="s">
        <v>189</v>
      </c>
      <c r="D397" s="5">
        <v>46164</v>
      </c>
      <c r="E397" s="9">
        <v>20556128384</v>
      </c>
      <c r="F397" s="10" t="s">
        <v>239</v>
      </c>
      <c r="G397" s="10"/>
      <c r="I397" s="13">
        <f>+[1]!PRODUCTOS[[#This Row],[CANT.]]</f>
        <v>560</v>
      </c>
      <c r="J397" s="19" t="s">
        <v>250</v>
      </c>
      <c r="K397" s="19" t="s">
        <v>674</v>
      </c>
      <c r="L397" s="20" t="s">
        <v>675</v>
      </c>
      <c r="M397" s="16">
        <f>+[1]!PRODUCTOS[[#This Row],[PRECIO]]*18%+[1]!PRODUCTOS[[#This Row],[PRECIO]]</f>
        <v>6.4000002199999999</v>
      </c>
      <c r="N397" s="16">
        <f>+[1]!PRODUCTOS[[#This Row],[CANTIDAD]]*[1]!PRODUCTOS[[#This Row],[PRECIOCIGV]]</f>
        <v>3584.0001231999995</v>
      </c>
    </row>
    <row r="398" spans="1:15" x14ac:dyDescent="0.3">
      <c r="A398" s="2" t="s">
        <v>165</v>
      </c>
      <c r="B398" s="2">
        <v>1</v>
      </c>
      <c r="C398" s="2" t="s">
        <v>189</v>
      </c>
      <c r="D398" s="5">
        <v>46164</v>
      </c>
      <c r="E398" s="9">
        <v>20556128384</v>
      </c>
      <c r="F398" s="10" t="s">
        <v>239</v>
      </c>
      <c r="G398" s="10"/>
      <c r="I398" s="13">
        <f>+[1]!PRODUCTOS[[#This Row],[CANT.]]</f>
        <v>320</v>
      </c>
      <c r="J398" s="19" t="s">
        <v>250</v>
      </c>
      <c r="K398" s="19" t="s">
        <v>676</v>
      </c>
      <c r="L398" s="20" t="s">
        <v>677</v>
      </c>
      <c r="M398" s="16">
        <f>+[1]!PRODUCTOS[[#This Row],[PRECIO]]*18%+[1]!PRODUCTOS[[#This Row],[PRECIO]]</f>
        <v>5.3999997799999999</v>
      </c>
      <c r="N398" s="16">
        <f>+[1]!PRODUCTOS[[#This Row],[CANTIDAD]]*[1]!PRODUCTOS[[#This Row],[PRECIOCIGV]]</f>
        <v>1727.9999296000001</v>
      </c>
    </row>
    <row r="399" spans="1:15" x14ac:dyDescent="0.3">
      <c r="A399" s="2" t="s">
        <v>166</v>
      </c>
      <c r="B399" s="2">
        <v>1</v>
      </c>
      <c r="C399" s="2" t="s">
        <v>189</v>
      </c>
      <c r="D399" s="5">
        <v>46164</v>
      </c>
      <c r="E399" s="9">
        <v>20100029741</v>
      </c>
      <c r="F399" s="10" t="s">
        <v>210</v>
      </c>
      <c r="G399" s="10"/>
      <c r="I399" s="13">
        <v>1000</v>
      </c>
      <c r="J399" s="17" t="s">
        <v>250</v>
      </c>
      <c r="K399" s="15" t="s">
        <v>678</v>
      </c>
      <c r="L399" s="16" t="s">
        <v>679</v>
      </c>
      <c r="M399" s="16">
        <v>2.7249999599999999</v>
      </c>
      <c r="N399" s="16">
        <v>2724.9999600000001</v>
      </c>
    </row>
    <row r="400" spans="1:15" x14ac:dyDescent="0.3">
      <c r="A400" s="2" t="s">
        <v>167</v>
      </c>
      <c r="B400" s="2">
        <v>1</v>
      </c>
      <c r="C400" s="2" t="s">
        <v>189</v>
      </c>
      <c r="D400" s="5">
        <v>46165</v>
      </c>
      <c r="E400" s="9">
        <v>20608800868</v>
      </c>
      <c r="F400" s="10" t="s">
        <v>200</v>
      </c>
      <c r="G400" s="10"/>
      <c r="I400" s="13">
        <v>102</v>
      </c>
      <c r="J400" s="17" t="s">
        <v>250</v>
      </c>
      <c r="K400" s="15" t="s">
        <v>318</v>
      </c>
      <c r="L400" s="16" t="s">
        <v>319</v>
      </c>
      <c r="M400" s="16">
        <v>76.568627059999997</v>
      </c>
      <c r="N400" s="16">
        <v>7809.9999601199997</v>
      </c>
    </row>
    <row r="401" spans="1:15" x14ac:dyDescent="0.3">
      <c r="A401" s="2" t="s">
        <v>167</v>
      </c>
      <c r="B401" s="2">
        <v>1</v>
      </c>
      <c r="C401" s="2" t="s">
        <v>189</v>
      </c>
      <c r="D401" s="5">
        <v>46165</v>
      </c>
      <c r="E401" s="9">
        <v>20608800868</v>
      </c>
      <c r="F401" s="10" t="s">
        <v>200</v>
      </c>
      <c r="G401" s="10"/>
      <c r="I401" s="13">
        <v>200</v>
      </c>
      <c r="J401" s="17" t="s">
        <v>250</v>
      </c>
      <c r="K401" s="15" t="s">
        <v>430</v>
      </c>
      <c r="L401" s="16" t="s">
        <v>431</v>
      </c>
      <c r="M401" s="16">
        <v>7.9999999917999993</v>
      </c>
      <c r="N401" s="16">
        <v>1599.9999983599998</v>
      </c>
    </row>
    <row r="402" spans="1:15" x14ac:dyDescent="0.3">
      <c r="A402" s="2" t="s">
        <v>167</v>
      </c>
      <c r="B402" s="2">
        <v>1</v>
      </c>
      <c r="C402" s="2" t="s">
        <v>189</v>
      </c>
      <c r="D402" s="5">
        <v>46165</v>
      </c>
      <c r="E402" s="9">
        <v>20608800868</v>
      </c>
      <c r="F402" s="10" t="s">
        <v>200</v>
      </c>
      <c r="G402" s="10"/>
      <c r="I402" s="13">
        <v>150</v>
      </c>
      <c r="J402" s="17" t="s">
        <v>250</v>
      </c>
      <c r="K402" s="15" t="s">
        <v>336</v>
      </c>
      <c r="L402" s="16" t="s">
        <v>337</v>
      </c>
      <c r="M402" s="16">
        <v>51.37066634</v>
      </c>
      <c r="N402" s="16">
        <v>7705.5999510000001</v>
      </c>
    </row>
    <row r="403" spans="1:15" x14ac:dyDescent="0.3">
      <c r="A403" s="2" t="s">
        <v>167</v>
      </c>
      <c r="B403" s="2">
        <v>1</v>
      </c>
      <c r="C403" s="2" t="s">
        <v>189</v>
      </c>
      <c r="D403" s="5">
        <v>46165</v>
      </c>
      <c r="E403" s="9">
        <v>20608800868</v>
      </c>
      <c r="F403" s="10" t="s">
        <v>200</v>
      </c>
      <c r="G403" s="10"/>
      <c r="I403" s="13">
        <v>416</v>
      </c>
      <c r="J403" s="17" t="s">
        <v>250</v>
      </c>
      <c r="K403" s="15" t="s">
        <v>334</v>
      </c>
      <c r="L403" s="16" t="s">
        <v>335</v>
      </c>
      <c r="M403" s="16">
        <v>18.523076904</v>
      </c>
      <c r="N403" s="16">
        <v>7705.5999920639997</v>
      </c>
    </row>
    <row r="404" spans="1:15" x14ac:dyDescent="0.3">
      <c r="A404" s="2" t="s">
        <v>168</v>
      </c>
      <c r="B404" s="2">
        <v>1</v>
      </c>
      <c r="C404" s="2" t="s">
        <v>189</v>
      </c>
      <c r="D404" s="5">
        <v>46167</v>
      </c>
      <c r="E404" s="9">
        <v>20100029741</v>
      </c>
      <c r="F404" s="10" t="s">
        <v>210</v>
      </c>
      <c r="G404" s="10"/>
      <c r="I404" s="13">
        <v>650</v>
      </c>
      <c r="J404" s="17" t="s">
        <v>250</v>
      </c>
      <c r="K404" s="15" t="s">
        <v>260</v>
      </c>
      <c r="L404" s="16" t="s">
        <v>261</v>
      </c>
      <c r="M404" s="16">
        <v>29.79995954</v>
      </c>
      <c r="N404" s="16">
        <v>19369.973700999999</v>
      </c>
    </row>
    <row r="405" spans="1:15" x14ac:dyDescent="0.3">
      <c r="A405" s="2" t="s">
        <v>169</v>
      </c>
      <c r="B405" s="2">
        <v>1</v>
      </c>
      <c r="C405" s="2" t="s">
        <v>189</v>
      </c>
      <c r="D405" s="5">
        <v>46167</v>
      </c>
      <c r="E405" s="9">
        <v>20100029741</v>
      </c>
      <c r="F405" s="10" t="s">
        <v>210</v>
      </c>
      <c r="G405" s="10"/>
      <c r="I405" s="13">
        <v>1900</v>
      </c>
      <c r="J405" s="17" t="s">
        <v>250</v>
      </c>
      <c r="K405" s="15" t="s">
        <v>328</v>
      </c>
      <c r="L405" s="16" t="s">
        <v>329</v>
      </c>
      <c r="M405" s="16">
        <v>0.95299985999999992</v>
      </c>
      <c r="N405" s="16">
        <v>1810.6997339999998</v>
      </c>
    </row>
    <row r="406" spans="1:15" x14ac:dyDescent="0.3">
      <c r="A406" s="2" t="s">
        <v>170</v>
      </c>
      <c r="B406" s="2">
        <v>1</v>
      </c>
      <c r="C406" s="2" t="s">
        <v>189</v>
      </c>
      <c r="D406" s="5">
        <v>46168</v>
      </c>
      <c r="E406" s="9">
        <v>20553173991</v>
      </c>
      <c r="F406" s="10" t="s">
        <v>240</v>
      </c>
      <c r="G406" s="10"/>
      <c r="I406" s="13">
        <f>+[1]!PRODUCTOS[[#This Row],[CANT.]]</f>
        <v>150</v>
      </c>
      <c r="J406" s="17" t="s">
        <v>250</v>
      </c>
      <c r="K406" s="19" t="s">
        <v>525</v>
      </c>
      <c r="L406" s="20" t="s">
        <v>526</v>
      </c>
      <c r="M406" s="16">
        <f>+[1]!PRODUCTOS[[#This Row],[PRECIO]]*18%+[1]!PRODUCTOS[[#This Row],[PRECIO]]</f>
        <v>51.37066634</v>
      </c>
      <c r="N406" s="16">
        <f>+[1]!PRODUCTOS[[#This Row],[PRECIOCIGV]]*[1]!PRODUCTOS[[#This Row],[CANTIDAD]]</f>
        <v>7705.5999510000001</v>
      </c>
    </row>
    <row r="407" spans="1:15" x14ac:dyDescent="0.3">
      <c r="A407" s="2" t="s">
        <v>170</v>
      </c>
      <c r="B407" s="2">
        <v>1</v>
      </c>
      <c r="C407" s="2" t="s">
        <v>189</v>
      </c>
      <c r="D407" s="5">
        <v>46168</v>
      </c>
      <c r="E407" s="9">
        <v>20553173991</v>
      </c>
      <c r="F407" s="10" t="s">
        <v>240</v>
      </c>
      <c r="G407" s="10"/>
      <c r="I407" s="13">
        <f>+[1]!PRODUCTOS[[#This Row],[CANT.]]</f>
        <v>416</v>
      </c>
      <c r="J407" s="17" t="s">
        <v>250</v>
      </c>
      <c r="K407" s="19" t="s">
        <v>525</v>
      </c>
      <c r="L407" s="20" t="s">
        <v>526</v>
      </c>
      <c r="M407" s="16">
        <f>+[1]!PRODUCTOS[[#This Row],[PRECIO]]*18%+[1]!PRODUCTOS[[#This Row],[PRECIO]]</f>
        <v>18.523076904</v>
      </c>
      <c r="N407" s="16">
        <f>+[1]!PRODUCTOS[[#This Row],[PRECIOCIGV]]*[1]!PRODUCTOS[[#This Row],[CANTIDAD]]</f>
        <v>7705.5999920639997</v>
      </c>
    </row>
    <row r="408" spans="1:15" x14ac:dyDescent="0.3">
      <c r="A408" s="2" t="s">
        <v>170</v>
      </c>
      <c r="B408" s="2">
        <v>1</v>
      </c>
      <c r="C408" s="2" t="s">
        <v>189</v>
      </c>
      <c r="D408" s="5">
        <v>46168</v>
      </c>
      <c r="E408" s="9">
        <v>20553173991</v>
      </c>
      <c r="F408" s="10" t="s">
        <v>240</v>
      </c>
      <c r="G408" s="10"/>
      <c r="I408" s="13">
        <f>+[1]!PRODUCTOS[[#This Row],[CANT.]]</f>
        <v>650</v>
      </c>
      <c r="J408" s="17" t="s">
        <v>250</v>
      </c>
      <c r="K408" s="19" t="s">
        <v>525</v>
      </c>
      <c r="L408" s="20" t="s">
        <v>526</v>
      </c>
      <c r="M408" s="16">
        <f>+[1]!PRODUCTOS[[#This Row],[PRECIO]]*18%+[1]!PRODUCTOS[[#This Row],[PRECIO]]</f>
        <v>29.79995954</v>
      </c>
      <c r="N408" s="16">
        <f>+[1]!PRODUCTOS[[#This Row],[PRECIOCIGV]]*[1]!PRODUCTOS[[#This Row],[CANTIDAD]]</f>
        <v>19369.973700999999</v>
      </c>
    </row>
    <row r="409" spans="1:15" x14ac:dyDescent="0.3">
      <c r="A409" s="2" t="s">
        <v>170</v>
      </c>
      <c r="B409" s="2">
        <v>1</v>
      </c>
      <c r="C409" s="2" t="s">
        <v>189</v>
      </c>
      <c r="D409" s="5">
        <v>46168</v>
      </c>
      <c r="E409" s="9">
        <v>20553173991</v>
      </c>
      <c r="F409" s="10" t="s">
        <v>240</v>
      </c>
      <c r="G409" s="10"/>
      <c r="I409" s="13">
        <f>+[1]!PRODUCTOS[[#This Row],[CANT.]]</f>
        <v>1900</v>
      </c>
      <c r="J409" s="17" t="s">
        <v>250</v>
      </c>
      <c r="K409" s="19" t="s">
        <v>525</v>
      </c>
      <c r="L409" s="20" t="s">
        <v>526</v>
      </c>
      <c r="M409" s="16">
        <f>+[1]!PRODUCTOS[[#This Row],[PRECIO]]*18%+[1]!PRODUCTOS[[#This Row],[PRECIO]]</f>
        <v>0.95299986000000003</v>
      </c>
      <c r="N409" s="16">
        <f>+[1]!PRODUCTOS[[#This Row],[PRECIOCIGV]]*[1]!PRODUCTOS[[#This Row],[CANTIDAD]]</f>
        <v>1810.6997339999998</v>
      </c>
    </row>
    <row r="410" spans="1:15" x14ac:dyDescent="0.3">
      <c r="A410" s="2" t="s">
        <v>171</v>
      </c>
      <c r="B410" s="2">
        <v>1</v>
      </c>
      <c r="C410" s="2" t="s">
        <v>189</v>
      </c>
      <c r="D410" s="5">
        <v>46168</v>
      </c>
      <c r="E410" s="9">
        <v>20100150736</v>
      </c>
      <c r="F410" s="10" t="s">
        <v>202</v>
      </c>
      <c r="G410" s="10"/>
      <c r="I410" s="13">
        <f>+[1]!PRODUCTOS[[#This Row],[CANT.]]</f>
        <v>2</v>
      </c>
      <c r="J410" s="17" t="s">
        <v>250</v>
      </c>
      <c r="K410" s="15" t="s">
        <v>274</v>
      </c>
      <c r="L410" s="16" t="s">
        <v>275</v>
      </c>
      <c r="M410" s="16">
        <f>+[1]!PRODUCTOS[[#This Row],[PRECIO]]*18%+[1]!PRODUCTOS[[#This Row],[PRECIO]]</f>
        <v>429.99999999879998</v>
      </c>
      <c r="N410" s="16">
        <f>+[1]!PRODUCTOS[[#This Row],[PRECIOCIGV]]*[1]!PRODUCTOS[[#This Row],[CANTIDAD]]</f>
        <v>859.99999999759996</v>
      </c>
      <c r="O410" s="23" t="s">
        <v>680</v>
      </c>
    </row>
    <row r="411" spans="1:15" x14ac:dyDescent="0.3">
      <c r="A411" s="2" t="s">
        <v>171</v>
      </c>
      <c r="B411" s="2">
        <v>1</v>
      </c>
      <c r="C411" s="2" t="s">
        <v>189</v>
      </c>
      <c r="D411" s="5">
        <v>46168</v>
      </c>
      <c r="E411" s="9">
        <v>20100150736</v>
      </c>
      <c r="F411" s="10" t="s">
        <v>202</v>
      </c>
      <c r="G411" s="10"/>
      <c r="I411" s="13">
        <f>+[1]!PRODUCTOS[[#This Row],[CANT.]]</f>
        <v>1</v>
      </c>
      <c r="J411" s="17" t="s">
        <v>250</v>
      </c>
      <c r="K411" s="15" t="s">
        <v>276</v>
      </c>
      <c r="L411" s="16" t="s">
        <v>277</v>
      </c>
      <c r="M411" s="16">
        <f>+[1]!PRODUCTOS[[#This Row],[PRECIO]]*18%+[1]!PRODUCTOS[[#This Row],[PRECIO]]</f>
        <v>316.00000000060004</v>
      </c>
      <c r="N411" s="16">
        <f>+[1]!PRODUCTOS[[#This Row],[PRECIOCIGV]]*[1]!PRODUCTOS[[#This Row],[CANTIDAD]]</f>
        <v>316.00000000060004</v>
      </c>
    </row>
    <row r="412" spans="1:15" x14ac:dyDescent="0.3">
      <c r="A412" s="2" t="s">
        <v>171</v>
      </c>
      <c r="B412" s="2">
        <v>1</v>
      </c>
      <c r="C412" s="2" t="s">
        <v>189</v>
      </c>
      <c r="D412" s="5">
        <v>46168</v>
      </c>
      <c r="E412" s="9">
        <v>20100150736</v>
      </c>
      <c r="F412" s="10" t="s">
        <v>202</v>
      </c>
      <c r="G412" s="10"/>
      <c r="I412" s="13">
        <f>+[1]!PRODUCTOS[[#This Row],[CANT.]]</f>
        <v>1</v>
      </c>
      <c r="J412" s="17" t="s">
        <v>250</v>
      </c>
      <c r="K412" s="19" t="s">
        <v>621</v>
      </c>
      <c r="L412" s="20" t="s">
        <v>622</v>
      </c>
      <c r="M412" s="16">
        <f>+[1]!PRODUCTOS[[#This Row],[PRECIO]]*18%+[1]!PRODUCTOS[[#This Row],[PRECIO]]</f>
        <v>44.999999999599993</v>
      </c>
      <c r="N412" s="16">
        <f>+[1]!PRODUCTOS[[#This Row],[PRECIOCIGV]]*[1]!PRODUCTOS[[#This Row],[CANTIDAD]]</f>
        <v>44.999999999599993</v>
      </c>
    </row>
    <row r="413" spans="1:15" x14ac:dyDescent="0.3">
      <c r="A413" s="2" t="s">
        <v>172</v>
      </c>
      <c r="B413" s="2">
        <v>1</v>
      </c>
      <c r="C413" s="2" t="s">
        <v>189</v>
      </c>
      <c r="D413" s="5">
        <v>46168</v>
      </c>
      <c r="E413" s="9">
        <v>20613553488</v>
      </c>
      <c r="F413" s="10" t="s">
        <v>197</v>
      </c>
      <c r="G413" s="10"/>
      <c r="I413" s="13">
        <v>2000</v>
      </c>
      <c r="J413" s="13" t="s">
        <v>250</v>
      </c>
      <c r="K413" s="15" t="s">
        <v>251</v>
      </c>
      <c r="L413" s="16" t="s">
        <v>252</v>
      </c>
      <c r="M413" s="16">
        <v>0.83999999200000008</v>
      </c>
      <c r="N413" s="16">
        <v>1679.9999840000003</v>
      </c>
    </row>
    <row r="414" spans="1:15" x14ac:dyDescent="0.3">
      <c r="A414" s="2" t="s">
        <v>173</v>
      </c>
      <c r="B414" s="2">
        <v>1</v>
      </c>
      <c r="C414" s="2" t="s">
        <v>189</v>
      </c>
      <c r="D414" s="5">
        <v>46169</v>
      </c>
      <c r="E414" s="9">
        <v>20608800868</v>
      </c>
      <c r="F414" s="10" t="s">
        <v>200</v>
      </c>
      <c r="G414" s="10"/>
      <c r="I414" s="13">
        <v>317</v>
      </c>
      <c r="J414" s="17" t="s">
        <v>250</v>
      </c>
      <c r="K414" s="15" t="s">
        <v>430</v>
      </c>
      <c r="L414" s="16" t="s">
        <v>431</v>
      </c>
      <c r="M414" s="16">
        <v>7.7999998919999998</v>
      </c>
      <c r="N414" s="16">
        <v>2472.599965764</v>
      </c>
    </row>
    <row r="415" spans="1:15" x14ac:dyDescent="0.3">
      <c r="A415" s="2" t="s">
        <v>173</v>
      </c>
      <c r="B415" s="2">
        <v>1</v>
      </c>
      <c r="C415" s="2" t="s">
        <v>189</v>
      </c>
      <c r="D415" s="5">
        <v>46169</v>
      </c>
      <c r="E415" s="9">
        <v>20608800868</v>
      </c>
      <c r="F415" s="10" t="s">
        <v>200</v>
      </c>
      <c r="G415" s="10"/>
      <c r="I415" s="13">
        <v>52</v>
      </c>
      <c r="J415" s="17" t="s">
        <v>250</v>
      </c>
      <c r="K415" s="15" t="s">
        <v>338</v>
      </c>
      <c r="L415" s="16" t="s">
        <v>339</v>
      </c>
      <c r="M415" s="16">
        <v>13.999999905999999</v>
      </c>
      <c r="N415" s="16">
        <v>727.99999511199997</v>
      </c>
    </row>
    <row r="416" spans="1:15" x14ac:dyDescent="0.3">
      <c r="A416" s="2" t="s">
        <v>173</v>
      </c>
      <c r="B416" s="2">
        <v>1</v>
      </c>
      <c r="C416" s="2" t="s">
        <v>189</v>
      </c>
      <c r="D416" s="5">
        <v>46169</v>
      </c>
      <c r="E416" s="9">
        <v>20608800868</v>
      </c>
      <c r="F416" s="10" t="s">
        <v>200</v>
      </c>
      <c r="G416" s="10"/>
      <c r="I416" s="13">
        <v>1988</v>
      </c>
      <c r="J416" s="17" t="s">
        <v>250</v>
      </c>
      <c r="K416" s="15" t="s">
        <v>334</v>
      </c>
      <c r="L416" s="16" t="s">
        <v>335</v>
      </c>
      <c r="M416" s="16">
        <v>18.499999879999997</v>
      </c>
      <c r="N416" s="16">
        <v>36777.999761439991</v>
      </c>
    </row>
    <row r="417" spans="1:15" x14ac:dyDescent="0.3">
      <c r="A417" s="2" t="s">
        <v>173</v>
      </c>
      <c r="B417" s="2">
        <v>1</v>
      </c>
      <c r="C417" s="2" t="s">
        <v>189</v>
      </c>
      <c r="D417" s="5">
        <v>46169</v>
      </c>
      <c r="E417" s="9">
        <v>20608800868</v>
      </c>
      <c r="F417" s="10" t="s">
        <v>200</v>
      </c>
      <c r="G417" s="10"/>
      <c r="I417" s="13">
        <v>345</v>
      </c>
      <c r="J417" s="17" t="s">
        <v>250</v>
      </c>
      <c r="K417" s="15" t="s">
        <v>413</v>
      </c>
      <c r="L417" s="16" t="s">
        <v>414</v>
      </c>
      <c r="M417" s="16">
        <v>33.199999975999994</v>
      </c>
      <c r="N417" s="16">
        <v>11453.999991719998</v>
      </c>
    </row>
    <row r="418" spans="1:15" x14ac:dyDescent="0.3">
      <c r="A418" s="2" t="s">
        <v>173</v>
      </c>
      <c r="B418" s="2">
        <v>1</v>
      </c>
      <c r="C418" s="2" t="s">
        <v>189</v>
      </c>
      <c r="D418" s="5">
        <v>46169</v>
      </c>
      <c r="E418" s="9">
        <v>20608800868</v>
      </c>
      <c r="F418" s="10" t="s">
        <v>200</v>
      </c>
      <c r="G418" s="10"/>
      <c r="I418" s="13">
        <v>234</v>
      </c>
      <c r="J418" s="17" t="s">
        <v>250</v>
      </c>
      <c r="K418" s="15" t="s">
        <v>336</v>
      </c>
      <c r="L418" s="16" t="s">
        <v>337</v>
      </c>
      <c r="M418" s="16">
        <v>51.299999679999999</v>
      </c>
      <c r="N418" s="16">
        <v>12004.19992512</v>
      </c>
    </row>
    <row r="419" spans="1:15" x14ac:dyDescent="0.3">
      <c r="A419" s="2" t="s">
        <v>173</v>
      </c>
      <c r="B419" s="2">
        <v>1</v>
      </c>
      <c r="C419" s="2" t="s">
        <v>189</v>
      </c>
      <c r="D419" s="5">
        <v>46169</v>
      </c>
      <c r="E419" s="9">
        <v>20608800868</v>
      </c>
      <c r="F419" s="10" t="s">
        <v>200</v>
      </c>
      <c r="G419" s="10"/>
      <c r="I419" s="13">
        <v>51</v>
      </c>
      <c r="J419" s="17" t="s">
        <v>250</v>
      </c>
      <c r="K419" s="15" t="s">
        <v>318</v>
      </c>
      <c r="L419" s="16" t="s">
        <v>319</v>
      </c>
      <c r="M419" s="16">
        <v>76.999999896000006</v>
      </c>
      <c r="N419" s="16">
        <v>3926.9999946960002</v>
      </c>
    </row>
    <row r="420" spans="1:15" x14ac:dyDescent="0.3">
      <c r="A420" s="2" t="s">
        <v>174</v>
      </c>
      <c r="B420" s="2">
        <v>1</v>
      </c>
      <c r="C420" s="2" t="s">
        <v>189</v>
      </c>
      <c r="D420" s="5">
        <v>46170</v>
      </c>
      <c r="E420" s="9">
        <v>20348687191</v>
      </c>
      <c r="F420" s="10" t="s">
        <v>241</v>
      </c>
      <c r="G420" s="10"/>
      <c r="I420" s="13">
        <v>800</v>
      </c>
      <c r="J420" s="17" t="s">
        <v>250</v>
      </c>
      <c r="K420" s="19" t="s">
        <v>681</v>
      </c>
      <c r="L420" s="20" t="s">
        <v>682</v>
      </c>
      <c r="M420" s="16">
        <v>1.0000057499999999</v>
      </c>
      <c r="N420" s="16">
        <v>800.00459999999998</v>
      </c>
    </row>
    <row r="421" spans="1:15" x14ac:dyDescent="0.3">
      <c r="A421" s="2" t="s">
        <v>174</v>
      </c>
      <c r="B421" s="2">
        <v>1</v>
      </c>
      <c r="C421" s="2" t="s">
        <v>189</v>
      </c>
      <c r="D421" s="5">
        <v>46170</v>
      </c>
      <c r="E421" s="9">
        <v>20348687191</v>
      </c>
      <c r="F421" s="10" t="s">
        <v>241</v>
      </c>
      <c r="G421" s="10"/>
      <c r="I421" s="13">
        <v>200</v>
      </c>
      <c r="J421" s="17" t="s">
        <v>250</v>
      </c>
      <c r="K421" s="19" t="s">
        <v>683</v>
      </c>
      <c r="L421" s="20" t="s">
        <v>684</v>
      </c>
      <c r="M421" s="16">
        <v>0.99999099999999996</v>
      </c>
      <c r="N421" s="16">
        <v>199.9982</v>
      </c>
    </row>
    <row r="422" spans="1:15" x14ac:dyDescent="0.3">
      <c r="A422" s="2" t="s">
        <v>174</v>
      </c>
      <c r="B422" s="2">
        <v>1</v>
      </c>
      <c r="C422" s="2" t="s">
        <v>189</v>
      </c>
      <c r="D422" s="5">
        <v>46170</v>
      </c>
      <c r="E422" s="9">
        <v>20348687191</v>
      </c>
      <c r="F422" s="10" t="s">
        <v>241</v>
      </c>
      <c r="G422" s="10"/>
      <c r="I422" s="13">
        <f>+[1]!PRODUCTOS[[#This Row],[CANT.]]</f>
        <v>234</v>
      </c>
      <c r="J422" s="17" t="s">
        <v>250</v>
      </c>
      <c r="K422" s="19" t="s">
        <v>685</v>
      </c>
      <c r="L422" s="20" t="s">
        <v>686</v>
      </c>
      <c r="M422" s="16">
        <f>+[1]!PRODUCTOS[[#This Row],[PRECIO]]*18%+[1]!PRODUCTOS[[#This Row],[PRECIO]]</f>
        <v>51.299999679999999</v>
      </c>
      <c r="N422" s="16">
        <f>+[1]!PRODUCTOS[[#This Row],[PRECIOCIGV]]*[1]!PRODUCTOS[[#This Row],[CANTIDAD]]</f>
        <v>12004.19992512</v>
      </c>
    </row>
    <row r="423" spans="1:15" x14ac:dyDescent="0.3">
      <c r="A423" s="2" t="s">
        <v>175</v>
      </c>
      <c r="B423" s="2" t="s">
        <v>190</v>
      </c>
      <c r="C423" s="2" t="s">
        <v>189</v>
      </c>
      <c r="D423" s="5">
        <v>46170</v>
      </c>
      <c r="E423" s="9">
        <v>20100150736</v>
      </c>
      <c r="F423" s="10" t="s">
        <v>202</v>
      </c>
      <c r="G423" s="10"/>
      <c r="I423" s="13">
        <f>+[1]!PRODUCTOS[[#This Row],[CANT.]]</f>
        <v>51</v>
      </c>
      <c r="J423" s="17" t="s">
        <v>250</v>
      </c>
      <c r="K423" s="15" t="s">
        <v>274</v>
      </c>
      <c r="L423" s="16" t="s">
        <v>275</v>
      </c>
      <c r="M423" s="16">
        <f>+[1]!PRODUCTOS[[#This Row],[PRECIO]]*18%+[1]!PRODUCTOS[[#This Row],[PRECIO]]</f>
        <v>76.999999896000006</v>
      </c>
      <c r="N423" s="16">
        <f>+[1]!PRODUCTOS[[#This Row],[PRECIOCIGV]]*[1]!PRODUCTOS[[#This Row],[CANTIDAD]]</f>
        <v>3926.9999946960002</v>
      </c>
      <c r="O423" s="23" t="s">
        <v>680</v>
      </c>
    </row>
    <row r="424" spans="1:15" x14ac:dyDescent="0.3">
      <c r="A424" s="2" t="s">
        <v>175</v>
      </c>
      <c r="B424" s="2" t="s">
        <v>190</v>
      </c>
      <c r="C424" s="2" t="s">
        <v>189</v>
      </c>
      <c r="D424" s="5">
        <v>46170</v>
      </c>
      <c r="E424" s="9">
        <v>20100150736</v>
      </c>
      <c r="F424" s="10" t="s">
        <v>202</v>
      </c>
      <c r="G424" s="10"/>
      <c r="I424" s="13">
        <f>+[1]!PRODUCTOS[[#This Row],[CANT.]]</f>
        <v>800</v>
      </c>
      <c r="J424" s="17" t="s">
        <v>250</v>
      </c>
      <c r="K424" s="15" t="s">
        <v>276</v>
      </c>
      <c r="L424" s="16" t="s">
        <v>277</v>
      </c>
      <c r="M424" s="16">
        <f>+[1]!PRODUCTOS[[#This Row],[PRECIO]]*18%+[1]!PRODUCTOS[[#This Row],[PRECIO]]</f>
        <v>1.0000057499999999</v>
      </c>
      <c r="N424" s="16">
        <f>+[1]!PRODUCTOS[[#This Row],[PRECIOCIGV]]*[1]!PRODUCTOS[[#This Row],[CANTIDAD]]</f>
        <v>800.00459999999998</v>
      </c>
      <c r="O424" s="23" t="s">
        <v>680</v>
      </c>
    </row>
    <row r="425" spans="1:15" x14ac:dyDescent="0.3">
      <c r="A425" s="2" t="s">
        <v>175</v>
      </c>
      <c r="B425" s="2" t="s">
        <v>190</v>
      </c>
      <c r="C425" s="2" t="s">
        <v>189</v>
      </c>
      <c r="D425" s="5">
        <v>46170</v>
      </c>
      <c r="E425" s="9">
        <v>20100150736</v>
      </c>
      <c r="F425" s="10" t="s">
        <v>202</v>
      </c>
      <c r="G425" s="10"/>
      <c r="I425" s="13">
        <f>+[1]!PRODUCTOS[[#This Row],[CANT.]]</f>
        <v>200</v>
      </c>
      <c r="J425" s="17" t="s">
        <v>250</v>
      </c>
      <c r="K425" s="19" t="s">
        <v>621</v>
      </c>
      <c r="L425" s="20" t="s">
        <v>622</v>
      </c>
      <c r="M425" s="16">
        <f>+[1]!PRODUCTOS[[#This Row],[PRECIO]]*18%+[1]!PRODUCTOS[[#This Row],[PRECIO]]</f>
        <v>0.99999100000000007</v>
      </c>
      <c r="N425" s="16">
        <f>+[1]!PRODUCTOS[[#This Row],[PRECIOCIGV]]*[1]!PRODUCTOS[[#This Row],[CANTIDAD]]</f>
        <v>199.9982</v>
      </c>
      <c r="O425" s="23" t="s">
        <v>680</v>
      </c>
    </row>
    <row r="426" spans="1:15" x14ac:dyDescent="0.3">
      <c r="A426" s="2" t="s">
        <v>176</v>
      </c>
      <c r="B426" s="2">
        <v>1</v>
      </c>
      <c r="C426" s="2" t="s">
        <v>189</v>
      </c>
      <c r="D426" s="5">
        <v>46171</v>
      </c>
      <c r="E426" s="9">
        <v>20611560894</v>
      </c>
      <c r="F426" s="10" t="s">
        <v>221</v>
      </c>
      <c r="G426" s="10"/>
      <c r="I426" s="13">
        <f>+[1]!PRODUCTOS[[#This Row],[CANT.]]</f>
        <v>10</v>
      </c>
      <c r="J426" s="17" t="s">
        <v>262</v>
      </c>
      <c r="K426" s="15" t="s">
        <v>436</v>
      </c>
      <c r="L426" s="16" t="s">
        <v>437</v>
      </c>
      <c r="M426" s="16">
        <f>+[1]!PRODUCTOS[[#This Row],[PRECIO]]*18%+[1]!PRODUCTOS[[#This Row],[PRECIO]]</f>
        <v>1.1800000000000001E-3</v>
      </c>
      <c r="N426" s="16">
        <f>+[1]!PRODUCTOS[[#This Row],[PRECIOCIGV]]*[1]!PRODUCTOS[[#This Row],[CANTIDAD]]</f>
        <v>1.1800000000000001E-2</v>
      </c>
    </row>
    <row r="427" spans="1:15" x14ac:dyDescent="0.3">
      <c r="A427" s="2" t="s">
        <v>176</v>
      </c>
      <c r="B427" s="2">
        <v>1</v>
      </c>
      <c r="C427" s="2" t="s">
        <v>189</v>
      </c>
      <c r="D427" s="5">
        <v>46171</v>
      </c>
      <c r="E427" s="9">
        <v>20611560894</v>
      </c>
      <c r="F427" s="10" t="s">
        <v>221</v>
      </c>
      <c r="G427" s="10"/>
      <c r="I427" s="13">
        <v>25</v>
      </c>
      <c r="J427" s="17" t="s">
        <v>250</v>
      </c>
      <c r="K427" s="15" t="s">
        <v>687</v>
      </c>
      <c r="L427" s="25" t="s">
        <v>688</v>
      </c>
      <c r="M427" s="16">
        <v>2.1999999059999999</v>
      </c>
      <c r="N427" s="16">
        <v>54.999997649999997</v>
      </c>
    </row>
    <row r="428" spans="1:15" x14ac:dyDescent="0.3">
      <c r="A428" s="2" t="s">
        <v>176</v>
      </c>
      <c r="B428" s="2">
        <v>1</v>
      </c>
      <c r="C428" s="2" t="s">
        <v>189</v>
      </c>
      <c r="D428" s="5">
        <v>46171</v>
      </c>
      <c r="E428" s="9">
        <v>20611560894</v>
      </c>
      <c r="F428" s="10" t="s">
        <v>221</v>
      </c>
      <c r="G428" s="10"/>
      <c r="I428" s="13">
        <f>+[1]!PRODUCTOS[[#This Row],[CANT.]]</f>
        <v>40</v>
      </c>
      <c r="J428" s="17" t="s">
        <v>262</v>
      </c>
      <c r="K428" s="15" t="s">
        <v>316</v>
      </c>
      <c r="L428" s="16" t="s">
        <v>317</v>
      </c>
      <c r="M428" s="16">
        <f>+[1]!PRODUCTOS[[#This Row],[PRECIO]]*18%+[1]!PRODUCTOS[[#This Row],[PRECIO]]</f>
        <v>9.1444100000000006</v>
      </c>
      <c r="N428" s="16">
        <f>+[1]!PRODUCTOS[[#This Row],[PRECIOCIGV]]*[1]!PRODUCTOS[[#This Row],[CANTIDAD]]</f>
        <v>365.77640000000002</v>
      </c>
    </row>
    <row r="429" spans="1:15" x14ac:dyDescent="0.3">
      <c r="A429" s="2" t="s">
        <v>176</v>
      </c>
      <c r="B429" s="2">
        <v>1</v>
      </c>
      <c r="C429" s="2" t="s">
        <v>189</v>
      </c>
      <c r="D429" s="5">
        <v>46171</v>
      </c>
      <c r="E429" s="9">
        <v>20611560894</v>
      </c>
      <c r="F429" s="10" t="s">
        <v>221</v>
      </c>
      <c r="G429" s="10"/>
      <c r="I429" s="13">
        <v>6</v>
      </c>
      <c r="J429" s="17" t="s">
        <v>250</v>
      </c>
      <c r="K429" s="19" t="s">
        <v>308</v>
      </c>
      <c r="L429" s="20" t="s">
        <v>309</v>
      </c>
      <c r="M429" s="16">
        <f>+[1]!PRODUCTOS[[#This Row],[PRECIO]]*18%+[1]!PRODUCTOS[[#This Row],[PRECIO]]</f>
        <v>9.2320250000000001</v>
      </c>
      <c r="N429" s="16">
        <f>+[1]!PRODUCTOS[[#This Row],[PRECIOCIGV]]*[1]!PRODUCTOS[[#This Row],[CANTIDAD]]</f>
        <v>369.28100000000001</v>
      </c>
    </row>
    <row r="430" spans="1:15" x14ac:dyDescent="0.3">
      <c r="A430" s="2" t="s">
        <v>176</v>
      </c>
      <c r="B430" s="2">
        <v>1</v>
      </c>
      <c r="C430" s="2" t="s">
        <v>189</v>
      </c>
      <c r="D430" s="5">
        <v>46171</v>
      </c>
      <c r="E430" s="9">
        <v>20611560894</v>
      </c>
      <c r="F430" s="10" t="s">
        <v>221</v>
      </c>
      <c r="G430" s="10"/>
      <c r="I430" s="13">
        <v>24</v>
      </c>
      <c r="J430" s="17" t="s">
        <v>250</v>
      </c>
      <c r="K430" s="15" t="s">
        <v>442</v>
      </c>
      <c r="L430" s="16" t="s">
        <v>443</v>
      </c>
      <c r="M430" s="16">
        <v>6.1999998960000005</v>
      </c>
      <c r="N430" s="16">
        <v>148.799997504</v>
      </c>
    </row>
    <row r="431" spans="1:15" x14ac:dyDescent="0.3">
      <c r="A431" s="2" t="s">
        <v>176</v>
      </c>
      <c r="B431" s="2">
        <v>1</v>
      </c>
      <c r="C431" s="2" t="s">
        <v>189</v>
      </c>
      <c r="D431" s="5">
        <v>46171</v>
      </c>
      <c r="E431" s="9">
        <v>20611560894</v>
      </c>
      <c r="F431" s="10" t="s">
        <v>221</v>
      </c>
      <c r="G431" s="10"/>
      <c r="I431" s="13">
        <v>12</v>
      </c>
      <c r="J431" s="17" t="s">
        <v>250</v>
      </c>
      <c r="K431" s="19" t="s">
        <v>314</v>
      </c>
      <c r="L431" s="20" t="s">
        <v>315</v>
      </c>
      <c r="M431" s="16">
        <v>3.4999998879999996</v>
      </c>
      <c r="N431" s="16">
        <v>41.999998655999995</v>
      </c>
    </row>
    <row r="432" spans="1:15" x14ac:dyDescent="0.3">
      <c r="A432" s="2" t="s">
        <v>176</v>
      </c>
      <c r="B432" s="2">
        <v>1</v>
      </c>
      <c r="C432" s="2" t="s">
        <v>189</v>
      </c>
      <c r="D432" s="5">
        <v>46171</v>
      </c>
      <c r="E432" s="9">
        <v>20611560894</v>
      </c>
      <c r="F432" s="10" t="s">
        <v>221</v>
      </c>
      <c r="G432" s="10"/>
      <c r="I432" s="13">
        <v>12</v>
      </c>
      <c r="J432" s="17" t="s">
        <v>250</v>
      </c>
      <c r="K432" s="15" t="s">
        <v>689</v>
      </c>
      <c r="L432" s="16" t="s">
        <v>690</v>
      </c>
      <c r="M432" s="16">
        <v>9.9999999159999984</v>
      </c>
      <c r="N432" s="16">
        <v>119.99999899199997</v>
      </c>
    </row>
    <row r="433" spans="1:15" x14ac:dyDescent="0.3">
      <c r="A433" s="2" t="s">
        <v>176</v>
      </c>
      <c r="B433" s="2">
        <v>1</v>
      </c>
      <c r="C433" s="2" t="s">
        <v>189</v>
      </c>
      <c r="D433" s="5">
        <v>46171</v>
      </c>
      <c r="E433" s="9">
        <v>20611560894</v>
      </c>
      <c r="F433" s="10" t="s">
        <v>221</v>
      </c>
      <c r="G433" s="10"/>
      <c r="I433" s="13">
        <v>12</v>
      </c>
      <c r="J433" s="17" t="s">
        <v>250</v>
      </c>
      <c r="K433" s="19" t="s">
        <v>691</v>
      </c>
      <c r="L433" s="20" t="s">
        <v>692</v>
      </c>
      <c r="M433" s="16">
        <f>+[1]!PRODUCTOS[[#This Row],[PRECIO]]*18%+[1]!PRODUCTOS[[#This Row],[PRECIO]]</f>
        <v>17.999999895999999</v>
      </c>
      <c r="N433" s="16">
        <f>+[1]!PRODUCTOS[[#This Row],[PRECIOCIGV]]*[1]!PRODUCTOS[[#This Row],[CANTIDAD]]</f>
        <v>107.99999937599999</v>
      </c>
    </row>
    <row r="434" spans="1:15" x14ac:dyDescent="0.3">
      <c r="A434" s="2" t="s">
        <v>176</v>
      </c>
      <c r="B434" s="2">
        <v>1</v>
      </c>
      <c r="C434" s="2" t="s">
        <v>189</v>
      </c>
      <c r="D434" s="5">
        <v>46171</v>
      </c>
      <c r="E434" s="9">
        <v>20611560894</v>
      </c>
      <c r="F434" s="10" t="s">
        <v>221</v>
      </c>
      <c r="G434" s="10"/>
      <c r="I434" s="13">
        <v>18</v>
      </c>
      <c r="J434" s="17" t="s">
        <v>250</v>
      </c>
      <c r="K434" s="19" t="s">
        <v>440</v>
      </c>
      <c r="L434" s="20" t="s">
        <v>441</v>
      </c>
      <c r="M434" s="16">
        <v>15.999999959999998</v>
      </c>
      <c r="N434" s="16">
        <v>287.99999928</v>
      </c>
    </row>
    <row r="435" spans="1:15" x14ac:dyDescent="0.3">
      <c r="A435" s="2" t="s">
        <v>177</v>
      </c>
      <c r="B435" s="2">
        <v>1</v>
      </c>
      <c r="C435" s="2" t="s">
        <v>189</v>
      </c>
      <c r="D435" s="5">
        <v>46171</v>
      </c>
      <c r="E435" s="9">
        <v>20100029741</v>
      </c>
      <c r="F435" s="10" t="s">
        <v>210</v>
      </c>
      <c r="G435" s="10"/>
      <c r="I435" s="13">
        <v>50</v>
      </c>
      <c r="J435" s="17" t="s">
        <v>250</v>
      </c>
      <c r="K435" s="15" t="s">
        <v>330</v>
      </c>
      <c r="L435" s="16" t="s">
        <v>331</v>
      </c>
      <c r="M435" s="16">
        <v>31.999999919999997</v>
      </c>
      <c r="N435" s="16">
        <v>1599.9999959999998</v>
      </c>
    </row>
    <row r="436" spans="1:15" x14ac:dyDescent="0.3">
      <c r="A436" s="2" t="s">
        <v>177</v>
      </c>
      <c r="B436" s="2">
        <v>1</v>
      </c>
      <c r="C436" s="2" t="s">
        <v>189</v>
      </c>
      <c r="D436" s="5">
        <v>46171</v>
      </c>
      <c r="E436" s="9">
        <v>20100029741</v>
      </c>
      <c r="F436" s="10" t="s">
        <v>210</v>
      </c>
      <c r="G436" s="10"/>
      <c r="I436" s="13">
        <v>50</v>
      </c>
      <c r="J436" s="17" t="s">
        <v>250</v>
      </c>
      <c r="K436" s="15" t="s">
        <v>332</v>
      </c>
      <c r="L436" s="16" t="s">
        <v>333</v>
      </c>
      <c r="M436" s="16">
        <v>15.49999974</v>
      </c>
      <c r="N436" s="16">
        <v>774.99998700000003</v>
      </c>
    </row>
    <row r="437" spans="1:15" x14ac:dyDescent="0.3">
      <c r="A437" s="2" t="s">
        <v>178</v>
      </c>
      <c r="B437" s="2">
        <v>1</v>
      </c>
      <c r="C437" s="2" t="s">
        <v>191</v>
      </c>
      <c r="D437" s="5">
        <v>46171</v>
      </c>
      <c r="E437" s="9">
        <v>20100029741</v>
      </c>
      <c r="F437" s="10" t="s">
        <v>210</v>
      </c>
      <c r="G437" s="10"/>
      <c r="I437" s="13">
        <v>464</v>
      </c>
      <c r="J437" s="17" t="s">
        <v>250</v>
      </c>
      <c r="K437" s="15" t="s">
        <v>413</v>
      </c>
      <c r="L437" s="16" t="s">
        <v>414</v>
      </c>
      <c r="M437" s="16">
        <v>9.7413790799999997</v>
      </c>
      <c r="N437" s="16">
        <v>4519.9998931199998</v>
      </c>
    </row>
    <row r="438" spans="1:15" x14ac:dyDescent="0.3">
      <c r="A438" s="2" t="s">
        <v>178</v>
      </c>
      <c r="B438" s="2">
        <v>1</v>
      </c>
      <c r="C438" s="2" t="s">
        <v>191</v>
      </c>
      <c r="D438" s="5">
        <v>46171</v>
      </c>
      <c r="E438" s="9">
        <v>20100029741</v>
      </c>
      <c r="F438" s="10" t="s">
        <v>210</v>
      </c>
      <c r="G438" s="10"/>
      <c r="I438" s="13">
        <v>416</v>
      </c>
      <c r="J438" s="17" t="s">
        <v>250</v>
      </c>
      <c r="K438" s="15" t="s">
        <v>334</v>
      </c>
      <c r="L438" s="16" t="s">
        <v>335</v>
      </c>
      <c r="M438" s="16">
        <v>5.4326916800000005</v>
      </c>
      <c r="N438" s="16">
        <v>2259.9997388800002</v>
      </c>
    </row>
    <row r="439" spans="1:15" x14ac:dyDescent="0.3">
      <c r="A439" s="2" t="s">
        <v>178</v>
      </c>
      <c r="B439" s="2">
        <v>1</v>
      </c>
      <c r="C439" s="2" t="s">
        <v>191</v>
      </c>
      <c r="D439" s="5">
        <v>46171</v>
      </c>
      <c r="E439" s="9">
        <v>20100029741</v>
      </c>
      <c r="F439" s="10" t="s">
        <v>210</v>
      </c>
      <c r="G439" s="10"/>
      <c r="I439" s="13">
        <v>150</v>
      </c>
      <c r="J439" s="17" t="s">
        <v>250</v>
      </c>
      <c r="K439" s="15" t="s">
        <v>336</v>
      </c>
      <c r="L439" s="16" t="s">
        <v>337</v>
      </c>
      <c r="M439" s="16">
        <v>15.06666716</v>
      </c>
      <c r="N439" s="16">
        <v>2260.000074</v>
      </c>
    </row>
    <row r="440" spans="1:15" x14ac:dyDescent="0.3">
      <c r="A440" s="2" t="s">
        <v>179</v>
      </c>
      <c r="B440" s="2">
        <v>1</v>
      </c>
      <c r="C440" s="2" t="s">
        <v>191</v>
      </c>
      <c r="D440" s="5">
        <v>46171</v>
      </c>
      <c r="E440" s="9">
        <v>20100029741</v>
      </c>
      <c r="F440" s="10" t="s">
        <v>210</v>
      </c>
      <c r="G440" s="10"/>
      <c r="I440" s="13">
        <v>232</v>
      </c>
      <c r="J440" s="17" t="s">
        <v>250</v>
      </c>
      <c r="K440" s="15" t="s">
        <v>413</v>
      </c>
      <c r="L440" s="16" t="s">
        <v>414</v>
      </c>
      <c r="M440" s="16">
        <v>9.7413790799999997</v>
      </c>
      <c r="N440" s="16">
        <v>2259.9999465599999</v>
      </c>
    </row>
    <row r="441" spans="1:15" x14ac:dyDescent="0.3">
      <c r="A441" s="2" t="s">
        <v>179</v>
      </c>
      <c r="B441" s="2">
        <v>1</v>
      </c>
      <c r="C441" s="2" t="s">
        <v>191</v>
      </c>
      <c r="D441" s="5">
        <v>46171</v>
      </c>
      <c r="E441" s="9">
        <v>20100029741</v>
      </c>
      <c r="F441" s="10" t="s">
        <v>210</v>
      </c>
      <c r="G441" s="10"/>
      <c r="I441" s="13">
        <v>416</v>
      </c>
      <c r="J441" s="17" t="s">
        <v>250</v>
      </c>
      <c r="K441" s="15" t="s">
        <v>334</v>
      </c>
      <c r="L441" s="16" t="s">
        <v>335</v>
      </c>
      <c r="M441" s="16">
        <v>5.4326916800000005</v>
      </c>
      <c r="N441" s="16">
        <v>2259.9997388800002</v>
      </c>
    </row>
    <row r="442" spans="1:15" x14ac:dyDescent="0.3">
      <c r="A442" s="2" t="s">
        <v>180</v>
      </c>
      <c r="B442" s="2">
        <v>1</v>
      </c>
      <c r="C442" s="2" t="s">
        <v>189</v>
      </c>
      <c r="D442" s="5">
        <v>46171</v>
      </c>
      <c r="E442" s="9">
        <v>20517382338</v>
      </c>
      <c r="F442" s="10" t="s">
        <v>242</v>
      </c>
      <c r="G442" s="10"/>
      <c r="I442" s="13">
        <v>1</v>
      </c>
      <c r="J442" s="19" t="s">
        <v>250</v>
      </c>
      <c r="K442" s="19" t="s">
        <v>693</v>
      </c>
      <c r="L442" s="20" t="s">
        <v>694</v>
      </c>
      <c r="M442" s="16">
        <f>+[1]!PRODUCTOS[[#This Row],[PRECIO]]*18%+[1]!PRODUCTOS[[#This Row],[PRECIO]]</f>
        <v>5.4326916800000005</v>
      </c>
      <c r="N442" s="16">
        <f>+[1]!PRODUCTOS[[#This Row],[PRECIOCIGV]]*[1]!PRODUCTOS[[#This Row],[CANTIDAD]]</f>
        <v>2259.9997388800002</v>
      </c>
    </row>
    <row r="443" spans="1:15" x14ac:dyDescent="0.3">
      <c r="A443" s="2" t="s">
        <v>181</v>
      </c>
      <c r="B443" s="2">
        <v>1</v>
      </c>
      <c r="C443" s="2" t="s">
        <v>189</v>
      </c>
      <c r="D443" s="5">
        <v>46172</v>
      </c>
      <c r="E443" s="9">
        <v>20611809515</v>
      </c>
      <c r="F443" s="10" t="s">
        <v>229</v>
      </c>
      <c r="G443" s="10"/>
      <c r="I443" s="13">
        <v>30</v>
      </c>
      <c r="J443" s="19" t="s">
        <v>262</v>
      </c>
      <c r="K443" s="19" t="s">
        <v>695</v>
      </c>
      <c r="L443" s="20" t="s">
        <v>696</v>
      </c>
      <c r="M443" s="16">
        <f>+[1]!PRODUCTOS[[#This Row],[PRECIO]]*18%+[1]!PRODUCTOS[[#This Row],[PRECIO]]</f>
        <v>15.06666716</v>
      </c>
      <c r="N443" s="16">
        <f>+[1]!PRODUCTOS[[#This Row],[PRECIOCIGV]]*[1]!PRODUCTOS[[#This Row],[CANTIDAD]]</f>
        <v>2260.000074</v>
      </c>
    </row>
    <row r="444" spans="1:15" x14ac:dyDescent="0.3">
      <c r="A444" s="2" t="s">
        <v>182</v>
      </c>
      <c r="B444" s="2">
        <v>1</v>
      </c>
      <c r="C444" s="2" t="s">
        <v>189</v>
      </c>
      <c r="D444" s="5">
        <v>46172</v>
      </c>
      <c r="E444" s="9">
        <v>20608800868</v>
      </c>
      <c r="F444" s="10" t="s">
        <v>200</v>
      </c>
      <c r="G444" s="10"/>
      <c r="I444" s="13">
        <v>57</v>
      </c>
      <c r="J444" s="17" t="s">
        <v>250</v>
      </c>
      <c r="K444" s="15" t="s">
        <v>318</v>
      </c>
      <c r="L444" s="16" t="s">
        <v>319</v>
      </c>
      <c r="M444" s="16">
        <v>77.399999600000001</v>
      </c>
      <c r="N444" s="16">
        <v>4411.7999772000003</v>
      </c>
    </row>
    <row r="445" spans="1:15" x14ac:dyDescent="0.3">
      <c r="A445" s="2" t="s">
        <v>182</v>
      </c>
      <c r="B445" s="2">
        <v>1</v>
      </c>
      <c r="C445" s="2" t="s">
        <v>189</v>
      </c>
      <c r="D445" s="5">
        <v>46172</v>
      </c>
      <c r="E445" s="9">
        <v>20608800868</v>
      </c>
      <c r="F445" s="10" t="s">
        <v>200</v>
      </c>
      <c r="G445" s="10"/>
      <c r="I445" s="13">
        <v>200</v>
      </c>
      <c r="J445" s="17" t="s">
        <v>250</v>
      </c>
      <c r="K445" s="15" t="s">
        <v>338</v>
      </c>
      <c r="L445" s="16" t="s">
        <v>339</v>
      </c>
      <c r="M445" s="16">
        <v>13.5999956</v>
      </c>
      <c r="N445" s="16">
        <v>2719.9991199999999</v>
      </c>
    </row>
    <row r="446" spans="1:15" x14ac:dyDescent="0.3">
      <c r="A446" s="2" t="s">
        <v>182</v>
      </c>
      <c r="B446" s="2">
        <v>1</v>
      </c>
      <c r="C446" s="2" t="s">
        <v>189</v>
      </c>
      <c r="D446" s="5">
        <v>46172</v>
      </c>
      <c r="E446" s="9">
        <v>20608800868</v>
      </c>
      <c r="F446" s="10" t="s">
        <v>200</v>
      </c>
      <c r="G446" s="10"/>
      <c r="I446" s="13">
        <v>200</v>
      </c>
      <c r="J446" s="17" t="s">
        <v>250</v>
      </c>
      <c r="K446" s="15" t="s">
        <v>430</v>
      </c>
      <c r="L446" s="16" t="s">
        <v>431</v>
      </c>
      <c r="M446" s="16">
        <v>7.5999999927999999</v>
      </c>
      <c r="N446" s="16">
        <v>1519.99999856</v>
      </c>
    </row>
    <row r="447" spans="1:15" x14ac:dyDescent="0.3">
      <c r="A447" s="2" t="s">
        <v>183</v>
      </c>
      <c r="B447" s="2">
        <v>1</v>
      </c>
      <c r="C447" s="2" t="s">
        <v>189</v>
      </c>
      <c r="D447" s="5">
        <v>46172</v>
      </c>
      <c r="E447" s="9">
        <v>20100029741</v>
      </c>
      <c r="F447" s="10" t="s">
        <v>210</v>
      </c>
      <c r="G447" s="10"/>
      <c r="I447" s="13">
        <v>350</v>
      </c>
      <c r="J447" s="17" t="s">
        <v>250</v>
      </c>
      <c r="K447" s="15" t="s">
        <v>260</v>
      </c>
      <c r="L447" s="16" t="s">
        <v>261</v>
      </c>
      <c r="M447" s="16">
        <v>29.79995954</v>
      </c>
      <c r="N447" s="16">
        <v>10429.985838999999</v>
      </c>
    </row>
    <row r="448" spans="1:15" x14ac:dyDescent="0.3">
      <c r="A448" s="2" t="s">
        <v>184</v>
      </c>
      <c r="B448" s="2">
        <v>1</v>
      </c>
      <c r="C448" s="2" t="s">
        <v>189</v>
      </c>
      <c r="D448" s="5">
        <v>46172</v>
      </c>
      <c r="E448" s="9">
        <v>20100029741</v>
      </c>
      <c r="F448" s="10" t="s">
        <v>210</v>
      </c>
      <c r="G448" s="10"/>
      <c r="I448" s="13">
        <f>+[1]!PRODUCTOS[[#This Row],[CANT.]]</f>
        <v>57</v>
      </c>
      <c r="J448" s="19" t="s">
        <v>250</v>
      </c>
      <c r="K448" s="19" t="s">
        <v>257</v>
      </c>
      <c r="L448" s="20" t="s">
        <v>258</v>
      </c>
      <c r="M448" s="16">
        <f>+[1]!PRODUCTOS[[#This Row],[PRECIO]]*18%+[1]!PRODUCTOS[[#This Row],[PRECIO]]</f>
        <v>77.399999600000001</v>
      </c>
      <c r="N448" s="16">
        <f>+[1]!PRODUCTOS[[#This Row],[PRECIOCIGV]]*[1]!PRODUCTOS[[#This Row],[CANTIDAD]]</f>
        <v>4411.7999772000003</v>
      </c>
      <c r="O448" s="22" t="s">
        <v>697</v>
      </c>
    </row>
    <row r="449" spans="1:15" x14ac:dyDescent="0.3">
      <c r="A449" s="2" t="s">
        <v>185</v>
      </c>
      <c r="B449" s="2" t="s">
        <v>190</v>
      </c>
      <c r="C449" s="2" t="s">
        <v>189</v>
      </c>
      <c r="D449" s="5">
        <v>46172</v>
      </c>
      <c r="E449" s="9">
        <v>20100029741</v>
      </c>
      <c r="F449" s="10" t="s">
        <v>210</v>
      </c>
      <c r="G449" s="10"/>
      <c r="I449" s="13">
        <v>1</v>
      </c>
      <c r="J449" s="19" t="s">
        <v>250</v>
      </c>
      <c r="K449" s="19">
        <v>60914</v>
      </c>
      <c r="L449" s="20" t="s">
        <v>341</v>
      </c>
      <c r="M449" s="16">
        <f>+[1]!PRODUCTOS[[#This Row],[PRECIO]]*18%+[1]!PRODUCTOS[[#This Row],[PRECIO]]</f>
        <v>13.5999956</v>
      </c>
      <c r="N449" s="16">
        <f>+[1]!PRODUCTOS[[#This Row],[PRECIOCIGV]]*[1]!PRODUCTOS[[#This Row],[CANTIDAD]]</f>
        <v>2719.9991199999999</v>
      </c>
      <c r="O449" s="22" t="s">
        <v>697</v>
      </c>
    </row>
    <row r="450" spans="1:15" x14ac:dyDescent="0.3">
      <c r="A450" s="2" t="s">
        <v>186</v>
      </c>
      <c r="B450" s="2">
        <v>1</v>
      </c>
      <c r="C450" s="2" t="s">
        <v>189</v>
      </c>
      <c r="D450" s="5">
        <v>46154</v>
      </c>
      <c r="E450" s="9">
        <v>20605639845</v>
      </c>
      <c r="F450" s="10" t="s">
        <v>235</v>
      </c>
      <c r="G450" s="10"/>
      <c r="I450" s="13">
        <v>1000</v>
      </c>
      <c r="J450" s="17" t="s">
        <v>250</v>
      </c>
      <c r="K450" s="19" t="s">
        <v>487</v>
      </c>
      <c r="L450" s="20" t="s">
        <v>488</v>
      </c>
      <c r="M450" s="16">
        <f>+[1]!PRODUCTOS[[#This Row],[PRECIO]]*18%+[1]!PRODUCTOS[[#This Row],[PRECIO]]</f>
        <v>7.5999999928000008</v>
      </c>
      <c r="N450" s="16">
        <f>+[1]!PRODUCTOS[[#This Row],[PRECIOCIGV]]*[1]!PRODUCTOS[[#This Row],[CANTIDAD]]</f>
        <v>1519.99999856</v>
      </c>
    </row>
    <row r="451" spans="1:15" x14ac:dyDescent="0.3">
      <c r="A451" s="2" t="s">
        <v>186</v>
      </c>
      <c r="B451" s="2">
        <v>1</v>
      </c>
      <c r="C451" s="2" t="s">
        <v>189</v>
      </c>
      <c r="D451" s="5">
        <v>46154</v>
      </c>
      <c r="E451" s="9">
        <v>20605639845</v>
      </c>
      <c r="F451" s="10" t="s">
        <v>235</v>
      </c>
      <c r="G451" s="10"/>
      <c r="I451" s="13">
        <f>+[1]!PRODUCTOS[[#This Row],[CANT.]]*1000</f>
        <v>350000</v>
      </c>
      <c r="J451" s="17" t="s">
        <v>250</v>
      </c>
      <c r="K451" s="19" t="s">
        <v>251</v>
      </c>
      <c r="L451" s="20" t="s">
        <v>252</v>
      </c>
      <c r="M451" s="16">
        <f>+[1]!PRODUCTOS[[#This Row],[PRECIO]]*18%+[1]!PRODUCTOS[[#This Row],[PRECIO]]</f>
        <v>29.79995954</v>
      </c>
      <c r="N451" s="16">
        <f>+[1]!PRODUCTOS[[#This Row],[PRECIOCIGV]]*[1]!PRODUCTOS[[#This Row],[CANTIDAD]]</f>
        <v>10429.985838999999</v>
      </c>
    </row>
    <row r="452" spans="1:15" x14ac:dyDescent="0.3">
      <c r="A452" s="2" t="s">
        <v>186</v>
      </c>
      <c r="B452" s="2">
        <v>1</v>
      </c>
      <c r="C452" s="2" t="s">
        <v>189</v>
      </c>
      <c r="D452" s="5">
        <v>46154</v>
      </c>
      <c r="E452" s="9">
        <v>20605639845</v>
      </c>
      <c r="F452" s="10" t="s">
        <v>235</v>
      </c>
      <c r="G452" s="10"/>
      <c r="I452" s="13">
        <f>+[1]!PRODUCTOS[[#This Row],[CANT.]]*1000</f>
        <v>300000</v>
      </c>
      <c r="J452" s="19" t="s">
        <v>250</v>
      </c>
      <c r="K452" s="19" t="s">
        <v>698</v>
      </c>
      <c r="L452" s="20" t="s">
        <v>699</v>
      </c>
      <c r="M452" s="16">
        <f>+[1]!PRODUCTOS[[#This Row],[PRECIO]]*18%+[1]!PRODUCTOS[[#This Row],[PRECIO]]</f>
        <v>27.100000359999999</v>
      </c>
      <c r="N452" s="16">
        <f>+[1]!PRODUCTOS[[#This Row],[PRECIOCIGV]]*[1]!PRODUCTOS[[#This Row],[CANTIDAD]]</f>
        <v>8130.0001080000002</v>
      </c>
    </row>
    <row r="453" spans="1:15" x14ac:dyDescent="0.3">
      <c r="A453" s="2" t="s">
        <v>109</v>
      </c>
      <c r="B453" s="2">
        <v>1</v>
      </c>
      <c r="C453" s="2" t="s">
        <v>189</v>
      </c>
      <c r="D453" s="5">
        <v>46132</v>
      </c>
      <c r="E453" s="9">
        <v>20508715332</v>
      </c>
      <c r="F453" s="10" t="s">
        <v>219</v>
      </c>
      <c r="G453" s="10"/>
      <c r="I453" s="13">
        <f>+[1]!PRODUCTOS[[#This Row],[CANT.]]</f>
        <v>1</v>
      </c>
      <c r="J453" s="17" t="s">
        <v>250</v>
      </c>
      <c r="K453" s="19" t="s">
        <v>700</v>
      </c>
      <c r="L453" s="20" t="s">
        <v>701</v>
      </c>
      <c r="M453" s="16">
        <f>+[1]!PRODUCTOS[[#This Row],[PRECIO]]*18%+[1]!PRODUCTOS[[#This Row],[PRECIO]]</f>
        <v>80.357891440000003</v>
      </c>
      <c r="N453" s="16">
        <f>+[1]!PRODUCTOS[[#This Row],[PRECIOCIGV]]*[1]!PRODUCTOS[[#This Row],[CANTIDAD]]</f>
        <v>80.357891440000003</v>
      </c>
    </row>
    <row r="454" spans="1:15" x14ac:dyDescent="0.3">
      <c r="A454" s="2" t="s">
        <v>109</v>
      </c>
      <c r="B454" s="2">
        <v>1</v>
      </c>
      <c r="C454" s="2" t="s">
        <v>189</v>
      </c>
      <c r="D454" s="5">
        <v>46132</v>
      </c>
      <c r="E454" s="9">
        <v>20508715332</v>
      </c>
      <c r="F454" s="10" t="s">
        <v>219</v>
      </c>
      <c r="G454" s="10"/>
      <c r="I454" s="13">
        <f>+[1]!PRODUCTOS[[#This Row],[CANT.]]</f>
        <v>1</v>
      </c>
      <c r="J454" s="17" t="s">
        <v>250</v>
      </c>
      <c r="K454" s="19" t="s">
        <v>426</v>
      </c>
      <c r="L454" s="20" t="s">
        <v>427</v>
      </c>
      <c r="M454" s="16">
        <f>+[1]!PRODUCTOS[[#This Row],[PRECIO]]*18%+[1]!PRODUCTOS[[#This Row],[PRECIO]]</f>
        <v>3.2999999999999701</v>
      </c>
      <c r="N454" s="16">
        <f>+[1]!PRODUCTOS[[#This Row],[PRECIOCIGV]]*[1]!PRODUCTOS[[#This Row],[CANTIDAD]]</f>
        <v>3299.99999999997</v>
      </c>
    </row>
    <row r="455" spans="1:15" x14ac:dyDescent="0.3">
      <c r="A455" s="2" t="s">
        <v>109</v>
      </c>
      <c r="B455" s="2">
        <v>1</v>
      </c>
      <c r="C455" s="2" t="s">
        <v>189</v>
      </c>
      <c r="D455" s="5">
        <v>46132</v>
      </c>
      <c r="E455" s="9">
        <v>20508715332</v>
      </c>
      <c r="F455" s="10" t="s">
        <v>219</v>
      </c>
      <c r="G455" s="10"/>
      <c r="I455" s="13">
        <f>+[1]!PRODUCTOS[[#This Row],[CANT.]]</f>
        <v>1</v>
      </c>
      <c r="J455" s="17" t="s">
        <v>250</v>
      </c>
      <c r="K455" s="19" t="s">
        <v>702</v>
      </c>
      <c r="L455" s="20" t="s">
        <v>703</v>
      </c>
      <c r="M455" s="16">
        <f>+[1]!PRODUCTOS[[#This Row],[PRECIO]]*18%+[1]!PRODUCTOS[[#This Row],[PRECIO]]</f>
        <v>0.94999999999998597</v>
      </c>
      <c r="N455" s="16">
        <f>+[1]!PRODUCTOS[[#This Row],[PRECIOCIGV]]*[1]!PRODUCTOS[[#This Row],[CANTIDAD]]</f>
        <v>949.99999999998602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BERTHA ROSA AROTINCO  HUAMAN</dc:creator>
  <cp:lastModifiedBy>BERTHA ROSA AROTINCO  HUAMAN</cp:lastModifiedBy>
  <dcterms:created xsi:type="dcterms:W3CDTF">2026-08-05T21:08:03Z</dcterms:created>
  <dcterms:modified xsi:type="dcterms:W3CDTF">2026-08-05T21:51:40Z</dcterms:modified>
</cp:coreProperties>
</file>